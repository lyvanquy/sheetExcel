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252"/>
  </bookViews>
  <sheets>
    <sheet sheetId="35" name="TỔNG" state="visible" r:id="rId4"/>
  </sheets>
  <definedNames>
    <definedName name="_xlnm._FilterDatabase">'TỔNG'!$A$8:$H$868</definedName>
  </definedNames>
  <calcPr calcId="171027"/>
</workbook>
</file>

<file path=xl/sharedStrings.xml><?xml version="1.0" encoding="utf-8"?>
<sst xmlns="http://schemas.openxmlformats.org/spreadsheetml/2006/main" count="2411" uniqueCount="807">
  <si>
    <t>KẾT QUẢ RÈN LUYỆN</t>
  </si>
  <si>
    <t>Học kỳ: HK 3 (2024-2025)</t>
  </si>
  <si>
    <t>,</t>
  </si>
  <si>
    <t xml:space="preserve">     Bậc đào tạo: Đại học</t>
  </si>
  <si>
    <t>Hệ đào tạo: Chính quy</t>
  </si>
  <si>
    <t>Khoa: Kỹ Thuật Công Nghệ</t>
  </si>
  <si>
    <t>STT</t>
  </si>
  <si>
    <t>Mã số SV</t>
  </si>
  <si>
    <t>Họ</t>
  </si>
  <si>
    <t>Tên</t>
  </si>
  <si>
    <t>Điểm</t>
  </si>
  <si>
    <t>Xếp loại</t>
  </si>
  <si>
    <t>Ghi chú</t>
  </si>
  <si>
    <t>Lớp</t>
  </si>
  <si>
    <t>Trần Phú</t>
  </si>
  <si>
    <t>Minh</t>
  </si>
  <si>
    <t>DHCNKTCTXD16</t>
  </si>
  <si>
    <t>Phạm Thế</t>
  </si>
  <si>
    <t>Giang</t>
  </si>
  <si>
    <t>Hồ Quốc</t>
  </si>
  <si>
    <t>Dễ</t>
  </si>
  <si>
    <t>Châu Anh</t>
  </si>
  <si>
    <t>Vũ</t>
  </si>
  <si>
    <t>Nguyễn Quốc</t>
  </si>
  <si>
    <t>Trung</t>
  </si>
  <si>
    <t>Đoàn Ngọc</t>
  </si>
  <si>
    <t>Thạch</t>
  </si>
  <si>
    <t>Nguyễn Minh</t>
  </si>
  <si>
    <t>Trường</t>
  </si>
  <si>
    <t>Võ Hoàng</t>
  </si>
  <si>
    <t>Anh</t>
  </si>
  <si>
    <t>Kỷ Thiên</t>
  </si>
  <si>
    <t>Nhựt</t>
  </si>
  <si>
    <t>Lê Hữu</t>
  </si>
  <si>
    <t>Nhân</t>
  </si>
  <si>
    <t>Nguyễn Tuấn</t>
  </si>
  <si>
    <t>Tú</t>
  </si>
  <si>
    <t>Lê Nhựt</t>
  </si>
  <si>
    <t>Hào</t>
  </si>
  <si>
    <t>Trần Trọng</t>
  </si>
  <si>
    <t>Tính</t>
  </si>
  <si>
    <t>DHCNKTCTXD17</t>
  </si>
  <si>
    <t>Huỳnh Tấn</t>
  </si>
  <si>
    <t>Lộc</t>
  </si>
  <si>
    <t>Nguyễn Trọng</t>
  </si>
  <si>
    <t>Tín</t>
  </si>
  <si>
    <t>Lương Nhựt</t>
  </si>
  <si>
    <t>Pháp</t>
  </si>
  <si>
    <t>Hải</t>
  </si>
  <si>
    <t>Nguyễn Văn</t>
  </si>
  <si>
    <t>Phú</t>
  </si>
  <si>
    <t>Nguyễn Hoài</t>
  </si>
  <si>
    <t>Phương</t>
  </si>
  <si>
    <t>Nguyễn Thành</t>
  </si>
  <si>
    <t>Tỷ</t>
  </si>
  <si>
    <t>Nguyễn Quốc Huy</t>
  </si>
  <si>
    <t>Chương</t>
  </si>
  <si>
    <t>Lữ Đỗ Duy</t>
  </si>
  <si>
    <t>Thanh</t>
  </si>
  <si>
    <t>Trần Đặng Đăng</t>
  </si>
  <si>
    <t>Khoa</t>
  </si>
  <si>
    <t>Nguyễn Cao Trường</t>
  </si>
  <si>
    <t>Linh</t>
  </si>
  <si>
    <t>Tăng Khánh</t>
  </si>
  <si>
    <t>Duy</t>
  </si>
  <si>
    <t>Trần Đình</t>
  </si>
  <si>
    <t>Khang</t>
  </si>
  <si>
    <t>Sơn Ngọc</t>
  </si>
  <si>
    <t>Thân</t>
  </si>
  <si>
    <t>Nguyễn Đức</t>
  </si>
  <si>
    <t>Huy</t>
  </si>
  <si>
    <t>Phạm Đình</t>
  </si>
  <si>
    <t>Phúc</t>
  </si>
  <si>
    <t>Danh Hoàng</t>
  </si>
  <si>
    <t>Nguyễn Đăng</t>
  </si>
  <si>
    <t>Nguyễn Thị Thu</t>
  </si>
  <si>
    <t>Kiều</t>
  </si>
  <si>
    <t>Phạm Đăng</t>
  </si>
  <si>
    <t>Nguyễn Chí</t>
  </si>
  <si>
    <t>Lê Tuấn</t>
  </si>
  <si>
    <t>Khải</t>
  </si>
  <si>
    <t>Nguyễn Thanh</t>
  </si>
  <si>
    <t>Nghiệm</t>
  </si>
  <si>
    <t>Nguyễn Phước</t>
  </si>
  <si>
    <t>Thịnh</t>
  </si>
  <si>
    <t>Lê Văn</t>
  </si>
  <si>
    <t>Khánh</t>
  </si>
  <si>
    <t>Lương Thế</t>
  </si>
  <si>
    <t>Bình</t>
  </si>
  <si>
    <t>Dương Hoàng</t>
  </si>
  <si>
    <t>Kha</t>
  </si>
  <si>
    <t>Lý Quốc</t>
  </si>
  <si>
    <t>Hưng</t>
  </si>
  <si>
    <t>Thuận</t>
  </si>
  <si>
    <t>Hồ Quách Minh</t>
  </si>
  <si>
    <t>Huỳnh Khải</t>
  </si>
  <si>
    <t>Đoàn Trung</t>
  </si>
  <si>
    <t>Thắng</t>
  </si>
  <si>
    <t>Vũ Ngọc Như</t>
  </si>
  <si>
    <t>Nguôn Hùng</t>
  </si>
  <si>
    <t>Khênh</t>
  </si>
  <si>
    <t>Trần Chí</t>
  </si>
  <si>
    <t>Thoại</t>
  </si>
  <si>
    <t>Đinh Minh</t>
  </si>
  <si>
    <t>Ý</t>
  </si>
  <si>
    <t>DHCNKTCTXD18</t>
  </si>
  <si>
    <t>Trần Ngọc</t>
  </si>
  <si>
    <t>Thái</t>
  </si>
  <si>
    <t>Nguyễn Phát</t>
  </si>
  <si>
    <t>Tài</t>
  </si>
  <si>
    <t>Lương Võ</t>
  </si>
  <si>
    <t>Hùng</t>
  </si>
  <si>
    <t>Tống Huỳnh Minh</t>
  </si>
  <si>
    <t>Liêm</t>
  </si>
  <si>
    <t>Kiều Nhựt</t>
  </si>
  <si>
    <t>Lâm Văn</t>
  </si>
  <si>
    <t>Phát</t>
  </si>
  <si>
    <t>Phạm Văn</t>
  </si>
  <si>
    <t>Xuyên</t>
  </si>
  <si>
    <t>Phan Thành</t>
  </si>
  <si>
    <t>Vẹn</t>
  </si>
  <si>
    <t>Dương Trí</t>
  </si>
  <si>
    <t>Nguyện</t>
  </si>
  <si>
    <t>Lưu Trường</t>
  </si>
  <si>
    <t>Nông Trí</t>
  </si>
  <si>
    <t>Huỳnh Công</t>
  </si>
  <si>
    <t>Đạt</t>
  </si>
  <si>
    <t>Nguyễn Ngọc</t>
  </si>
  <si>
    <t>Nguyễn Trung</t>
  </si>
  <si>
    <t>Tấn</t>
  </si>
  <si>
    <t>Lê Tấn</t>
  </si>
  <si>
    <t>Huỳnh Hoàng</t>
  </si>
  <si>
    <t>Khiêm</t>
  </si>
  <si>
    <t>Lê</t>
  </si>
  <si>
    <t>Huynh</t>
  </si>
  <si>
    <t>Phan Văn</t>
  </si>
  <si>
    <t>Vàng</t>
  </si>
  <si>
    <t>Nguyễn Văn Trúc</t>
  </si>
  <si>
    <t>Trần Văn Trọng</t>
  </si>
  <si>
    <t>Lê Thành</t>
  </si>
  <si>
    <t>Trần Quốc</t>
  </si>
  <si>
    <t>Đặng Hoài</t>
  </si>
  <si>
    <t>Lê Hoàng</t>
  </si>
  <si>
    <t>Cường</t>
  </si>
  <si>
    <t>Huỳnh Vũ</t>
  </si>
  <si>
    <t>Khưu Minh</t>
  </si>
  <si>
    <t>-</t>
  </si>
  <si>
    <t>Nghỉ học</t>
  </si>
  <si>
    <t>DHCNKTCTXD19</t>
  </si>
  <si>
    <t>Nguyễn Gia</t>
  </si>
  <si>
    <t>Tạm hoãn</t>
  </si>
  <si>
    <t>Phan Thị Diễm</t>
  </si>
  <si>
    <t>My</t>
  </si>
  <si>
    <t>Khá</t>
  </si>
  <si>
    <t>Trừ 10 điểm chưa CNTTSV</t>
  </si>
  <si>
    <t>Nguyễn Trường</t>
  </si>
  <si>
    <t>Thọ</t>
  </si>
  <si>
    <t>Phan Hải</t>
  </si>
  <si>
    <t>Dương</t>
  </si>
  <si>
    <t>Trừ 10 điểm chưa CNTTSV  - Nghỉ học</t>
  </si>
  <si>
    <t>Bùi Minh</t>
  </si>
  <si>
    <t>Khôi</t>
  </si>
  <si>
    <t>Thạch Vũ Tường</t>
  </si>
  <si>
    <t>Tốt</t>
  </si>
  <si>
    <t>Nguyễn Trí</t>
  </si>
  <si>
    <t>Toàn</t>
  </si>
  <si>
    <t>Lê Nhật</t>
  </si>
  <si>
    <t>Võ Trọng</t>
  </si>
  <si>
    <t>Trí</t>
  </si>
  <si>
    <t>Văn Phú</t>
  </si>
  <si>
    <t>Nguyễn Hoàng</t>
  </si>
  <si>
    <t>Luân</t>
  </si>
  <si>
    <t>Dững</t>
  </si>
  <si>
    <t>Trần Phương</t>
  </si>
  <si>
    <t>Tường</t>
  </si>
  <si>
    <t>Lê Duy</t>
  </si>
  <si>
    <t>Trần Văn</t>
  </si>
  <si>
    <t>Quốc</t>
  </si>
  <si>
    <t>TB</t>
  </si>
  <si>
    <t>Lê Khánh</t>
  </si>
  <si>
    <t>Đăng</t>
  </si>
  <si>
    <t>Nguyễn Trần</t>
  </si>
  <si>
    <t>Võ Trung</t>
  </si>
  <si>
    <t>Huỳnh Lê Quốc</t>
  </si>
  <si>
    <t>Danh</t>
  </si>
  <si>
    <t>Phường</t>
  </si>
  <si>
    <t>Lê Nguyễn</t>
  </si>
  <si>
    <t>Hoàng</t>
  </si>
  <si>
    <t>Trần Vương</t>
  </si>
  <si>
    <t>Trọng</t>
  </si>
  <si>
    <t>Vĩ</t>
  </si>
  <si>
    <t>DHCNTT16A</t>
  </si>
  <si>
    <t>Tô Nhựt</t>
  </si>
  <si>
    <t>Hứa Chí</t>
  </si>
  <si>
    <t>Động</t>
  </si>
  <si>
    <t>Huỳnh Lê Nhân</t>
  </si>
  <si>
    <t>Tiến</t>
  </si>
  <si>
    <t>Dương Tấn</t>
  </si>
  <si>
    <t>Lâm Đức</t>
  </si>
  <si>
    <t>Ngô Ngọc</t>
  </si>
  <si>
    <t>Vinh</t>
  </si>
  <si>
    <t>Lê Trần Thanh</t>
  </si>
  <si>
    <t>Phạm Chí</t>
  </si>
  <si>
    <t>Hậu</t>
  </si>
  <si>
    <t>Kiệt</t>
  </si>
  <si>
    <t>Trần Ý</t>
  </si>
  <si>
    <t>Quý</t>
  </si>
  <si>
    <t>Huỳnh Trần Khánh</t>
  </si>
  <si>
    <t>Đoan</t>
  </si>
  <si>
    <t>Nam</t>
  </si>
  <si>
    <t>Nguyễn Phúc</t>
  </si>
  <si>
    <t>Trần Đức</t>
  </si>
  <si>
    <t>Huỳnh Quốc</t>
  </si>
  <si>
    <t>Phan Hồng</t>
  </si>
  <si>
    <t>Phước</t>
  </si>
  <si>
    <t>Bùi Tấn</t>
  </si>
  <si>
    <t>Quách Nhật</t>
  </si>
  <si>
    <t>Tân</t>
  </si>
  <si>
    <t>Đinh Công Tuấn</t>
  </si>
  <si>
    <t>Nguyễn Hùng</t>
  </si>
  <si>
    <t>Văn</t>
  </si>
  <si>
    <t>Nguyễn Hữu</t>
  </si>
  <si>
    <t>Bành Quang</t>
  </si>
  <si>
    <t>Huỳnh Phạm Phương</t>
  </si>
  <si>
    <t>Phạm Vinh</t>
  </si>
  <si>
    <t>Hiển</t>
  </si>
  <si>
    <t>Võ Công</t>
  </si>
  <si>
    <t>Trần Duy</t>
  </si>
  <si>
    <t>Nguyễn Hoàng</t>
  </si>
  <si>
    <t>Trần Đăng</t>
  </si>
  <si>
    <t>Nguyễn Anh</t>
  </si>
  <si>
    <t>Võ Tuấn</t>
  </si>
  <si>
    <t>Ngân</t>
  </si>
  <si>
    <t>Lưu Thị Diễm</t>
  </si>
  <si>
    <t>Huỳnh</t>
  </si>
  <si>
    <t>Tình</t>
  </si>
  <si>
    <t>Cao Thị Kiều</t>
  </si>
  <si>
    <t>Trần Lê Hữu</t>
  </si>
  <si>
    <t>Triều</t>
  </si>
  <si>
    <t>Bùi Thanh</t>
  </si>
  <si>
    <t>Trương Bích</t>
  </si>
  <si>
    <t>Quân</t>
  </si>
  <si>
    <t>Trần Bá</t>
  </si>
  <si>
    <t>Hồ Thị Ngọc</t>
  </si>
  <si>
    <t>Quỳnh</t>
  </si>
  <si>
    <t>Nguyễn Xuân</t>
  </si>
  <si>
    <t>Thiều</t>
  </si>
  <si>
    <t>Huỳnh Đức</t>
  </si>
  <si>
    <t>Danh Nhật</t>
  </si>
  <si>
    <t>Phan Thanh Nhật</t>
  </si>
  <si>
    <t>Bùi Như</t>
  </si>
  <si>
    <t>DHCNTT16B</t>
  </si>
  <si>
    <t>Hồ Minh</t>
  </si>
  <si>
    <t>Thư</t>
  </si>
  <si>
    <t>Lê Minh</t>
  </si>
  <si>
    <t>Khai</t>
  </si>
  <si>
    <t>Nhàn</t>
  </si>
  <si>
    <t>Hồ Văn</t>
  </si>
  <si>
    <t>Tới</t>
  </si>
  <si>
    <t>Trương Nguyễn Hoàng</t>
  </si>
  <si>
    <t>Đổng Thị Yến</t>
  </si>
  <si>
    <t>Ngọc</t>
  </si>
  <si>
    <t>Trần Hữu</t>
  </si>
  <si>
    <t>Nguyễn Thị Hải</t>
  </si>
  <si>
    <t>Yến</t>
  </si>
  <si>
    <t>Nguyễn Quang</t>
  </si>
  <si>
    <t>Phan Thị Mai</t>
  </si>
  <si>
    <t>Thảo</t>
  </si>
  <si>
    <t>Võ Minh</t>
  </si>
  <si>
    <t>Nguyễn Khắc</t>
  </si>
  <si>
    <t>Mai Huỳnh Công</t>
  </si>
  <si>
    <t>Luật</t>
  </si>
  <si>
    <t>Phạm Thị Yến</t>
  </si>
  <si>
    <t>Lâm Phan Kiều</t>
  </si>
  <si>
    <t>Trinh</t>
  </si>
  <si>
    <t>Trương Mai Nguyệt</t>
  </si>
  <si>
    <t>Nhi</t>
  </si>
  <si>
    <t>Trần Thanh</t>
  </si>
  <si>
    <t>Đồng Trần Duy</t>
  </si>
  <si>
    <t>Huỳnh Nhật</t>
  </si>
  <si>
    <t>Phạm Tuấn</t>
  </si>
  <si>
    <t>Phi</t>
  </si>
  <si>
    <t>Lê Trung Thanh</t>
  </si>
  <si>
    <t>Lương Gia</t>
  </si>
  <si>
    <t>Hồ Bảo</t>
  </si>
  <si>
    <t>Đãm</t>
  </si>
  <si>
    <t>Võ Ngọc</t>
  </si>
  <si>
    <t>Thạnh</t>
  </si>
  <si>
    <t>Mai Thanh</t>
  </si>
  <si>
    <t>Điền</t>
  </si>
  <si>
    <t>Chế Thành Phước</t>
  </si>
  <si>
    <t>Mãi</t>
  </si>
  <si>
    <t>Châu Văn</t>
  </si>
  <si>
    <t>Đằng</t>
  </si>
  <si>
    <t>Trần Lê</t>
  </si>
  <si>
    <t>Phạm Bảo</t>
  </si>
  <si>
    <t>Trần Kỳ</t>
  </si>
  <si>
    <t>Mẫn</t>
  </si>
  <si>
    <t>Phạm Châu Thái</t>
  </si>
  <si>
    <t>Trân</t>
  </si>
  <si>
    <t>Nguyễn Thị Trúc</t>
  </si>
  <si>
    <t>Lan</t>
  </si>
  <si>
    <t>Lý Văn</t>
  </si>
  <si>
    <t>Nguyễn Chúc</t>
  </si>
  <si>
    <t>Phạm Ánh</t>
  </si>
  <si>
    <t>Trần Nhật</t>
  </si>
  <si>
    <t>Huỳnh Văn</t>
  </si>
  <si>
    <t>Đặng Thanh</t>
  </si>
  <si>
    <t>Mãi</t>
  </si>
  <si>
    <t>Thái Trung</t>
  </si>
  <si>
    <t>Nhẫn</t>
  </si>
  <si>
    <t>Nguyễn Nhựt</t>
  </si>
  <si>
    <t>Phạm Nhật</t>
  </si>
  <si>
    <t>Phạm Trúc</t>
  </si>
  <si>
    <t>Vy</t>
  </si>
  <si>
    <t>Nguyễn Đức Hải</t>
  </si>
  <si>
    <t>Tăng Thị Thúy</t>
  </si>
  <si>
    <t>Bùi Nguyễn Triều</t>
  </si>
  <si>
    <t>Vỹ</t>
  </si>
  <si>
    <t>Trần Tiến</t>
  </si>
  <si>
    <t>Phạm Trọng</t>
  </si>
  <si>
    <t>Nho</t>
  </si>
  <si>
    <t>Lương Thành</t>
  </si>
  <si>
    <t>Quí</t>
  </si>
  <si>
    <t>Nguyễn Duy</t>
  </si>
  <si>
    <t>Phạm Hữu</t>
  </si>
  <si>
    <t>Trạng</t>
  </si>
  <si>
    <t>Lê Thị Kim</t>
  </si>
  <si>
    <t>Xuyến</t>
  </si>
  <si>
    <t>Phan Đạt</t>
  </si>
  <si>
    <t>Nguyễn Khánh</t>
  </si>
  <si>
    <t>Hiền</t>
  </si>
  <si>
    <t>Lê Võ Đông</t>
  </si>
  <si>
    <t>Đinh Trọng</t>
  </si>
  <si>
    <t>Nghĩa</t>
  </si>
  <si>
    <t>Lý Hải</t>
  </si>
  <si>
    <t>Vương</t>
  </si>
  <si>
    <t>Trần Minh</t>
  </si>
  <si>
    <t>Nguyên</t>
  </si>
  <si>
    <t>Cô Văn</t>
  </si>
  <si>
    <t>Muông</t>
  </si>
  <si>
    <t>Mai Kim</t>
  </si>
  <si>
    <t>Lê Vũ</t>
  </si>
  <si>
    <t>Dương Huỳnh</t>
  </si>
  <si>
    <t>Kil</t>
  </si>
  <si>
    <t>Trần Phước</t>
  </si>
  <si>
    <t>Nguyễn Nhật</t>
  </si>
  <si>
    <t>Hồng Xuân</t>
  </si>
  <si>
    <t>Trúc</t>
  </si>
  <si>
    <t>Lê Quang</t>
  </si>
  <si>
    <t>Lý Trung</t>
  </si>
  <si>
    <t>DHCNTT17A</t>
  </si>
  <si>
    <t>Lê Đỗ Hoàng</t>
  </si>
  <si>
    <t>Phan Khánh</t>
  </si>
  <si>
    <t>Quyên</t>
  </si>
  <si>
    <t>Đặng Vĩnh</t>
  </si>
  <si>
    <t>Phan Thị Thái</t>
  </si>
  <si>
    <t>An</t>
  </si>
  <si>
    <t>Danh Dương Bình</t>
  </si>
  <si>
    <t>Yên</t>
  </si>
  <si>
    <t>Sơn Hoàng</t>
  </si>
  <si>
    <t>Huỳnh Thị Hồng</t>
  </si>
  <si>
    <t>Thắm</t>
  </si>
  <si>
    <t>Phạm Quang</t>
  </si>
  <si>
    <t>Lê Phước</t>
  </si>
  <si>
    <t>Trần</t>
  </si>
  <si>
    <t>Lợi</t>
  </si>
  <si>
    <t>Lê Phạm Quốc</t>
  </si>
  <si>
    <t>Mai Nhựt</t>
  </si>
  <si>
    <t>Phạm Nhựt</t>
  </si>
  <si>
    <t>Nguyễn Vũ</t>
  </si>
  <si>
    <t>Quách Văn</t>
  </si>
  <si>
    <t>Huẩn</t>
  </si>
  <si>
    <t>Trương Minh</t>
  </si>
  <si>
    <t>Nguyễn Thị Ngọc</t>
  </si>
  <si>
    <t>Châu</t>
  </si>
  <si>
    <t>Huỳnh Minh</t>
  </si>
  <si>
    <t>Phan Trường</t>
  </si>
  <si>
    <t>Thành</t>
  </si>
  <si>
    <t>Nguyễn Thái</t>
  </si>
  <si>
    <t>Võ Việt</t>
  </si>
  <si>
    <t>Huỳnh Lâm</t>
  </si>
  <si>
    <t>Phong</t>
  </si>
  <si>
    <t>Quang</t>
  </si>
  <si>
    <t>Trương Văn</t>
  </si>
  <si>
    <t>Mến</t>
  </si>
  <si>
    <t>Lê Quốc</t>
  </si>
  <si>
    <t>Bảo</t>
  </si>
  <si>
    <t>Nguyễn Thị Bích</t>
  </si>
  <si>
    <t>Tuyền</t>
  </si>
  <si>
    <t>Đỗ Quốc</t>
  </si>
  <si>
    <t>Võ Khắc</t>
  </si>
  <si>
    <t>Thuần</t>
  </si>
  <si>
    <t>Dương Văn</t>
  </si>
  <si>
    <t>Hiếu</t>
  </si>
  <si>
    <t>Nguyễn Long</t>
  </si>
  <si>
    <t>Tứ</t>
  </si>
  <si>
    <t>Dương Nhật</t>
  </si>
  <si>
    <t>Trần Thành</t>
  </si>
  <si>
    <t>Đại</t>
  </si>
  <si>
    <t>Trần Loan Thanh</t>
  </si>
  <si>
    <t>Thái Đức</t>
  </si>
  <si>
    <t>Phạm Huy</t>
  </si>
  <si>
    <t>Trần Khang</t>
  </si>
  <si>
    <t>Kiện</t>
  </si>
  <si>
    <t>Đặng Nhựt</t>
  </si>
  <si>
    <t>Trương Thanh</t>
  </si>
  <si>
    <t>Nhớ</t>
  </si>
  <si>
    <t>Trần Ngọc Thủy</t>
  </si>
  <si>
    <t>Tiên</t>
  </si>
  <si>
    <t>Trần Mộng</t>
  </si>
  <si>
    <t>Nghi</t>
  </si>
  <si>
    <t>Huỳnh Thanh</t>
  </si>
  <si>
    <t>Đoàn Lê Quốc</t>
  </si>
  <si>
    <t>Cao Trọng</t>
  </si>
  <si>
    <t>Nguyễn Thị Anh</t>
  </si>
  <si>
    <t>Nguyễn Tâm Phương</t>
  </si>
  <si>
    <t>Nguyễn Đăng Duy</t>
  </si>
  <si>
    <t>Điều Minh</t>
  </si>
  <si>
    <t>Tâm</t>
  </si>
  <si>
    <t>Nguyễn Hồng</t>
  </si>
  <si>
    <t>Nguyễn Thị Kim</t>
  </si>
  <si>
    <t>Phượng</t>
  </si>
  <si>
    <t>Đào Đức</t>
  </si>
  <si>
    <t>Phạm Gia</t>
  </si>
  <si>
    <t>Lê Uyển</t>
  </si>
  <si>
    <t>Quách Trường</t>
  </si>
  <si>
    <t>Nguyễn Văn Hoài</t>
  </si>
  <si>
    <t>Trần Lăm</t>
  </si>
  <si>
    <t>Võ Anh</t>
  </si>
  <si>
    <t>DHCNTT17B</t>
  </si>
  <si>
    <t>Võ Hồ Quốc</t>
  </si>
  <si>
    <t>Nguyễn Bảo</t>
  </si>
  <si>
    <t>Lưu Quốc</t>
  </si>
  <si>
    <t>Mạnh</t>
  </si>
  <si>
    <t>Trần Hán</t>
  </si>
  <si>
    <t>Lê Thị Như</t>
  </si>
  <si>
    <t>Võ Thành</t>
  </si>
  <si>
    <t>Trần Tấn</t>
  </si>
  <si>
    <t>Nguyễn Huy</t>
  </si>
  <si>
    <t>Mai Hữu</t>
  </si>
  <si>
    <t>Huỳnh Thành</t>
  </si>
  <si>
    <t>Hiệp</t>
  </si>
  <si>
    <t>Đào Nhật</t>
  </si>
  <si>
    <t>Tuyên</t>
  </si>
  <si>
    <t>Nguyễn Hạ</t>
  </si>
  <si>
    <t>Quyến</t>
  </si>
  <si>
    <t>Khanh</t>
  </si>
  <si>
    <t>Võ Dư Thanh</t>
  </si>
  <si>
    <t>Nguyễn Tấn</t>
  </si>
  <si>
    <t>Tạ Thái</t>
  </si>
  <si>
    <t>Nguyễn</t>
  </si>
  <si>
    <t>Lê Trí</t>
  </si>
  <si>
    <t>Niên</t>
  </si>
  <si>
    <t>Lữ Hồ Gia</t>
  </si>
  <si>
    <t>Lễ</t>
  </si>
  <si>
    <t>Huỳnh Duy Thiên</t>
  </si>
  <si>
    <t>Ân</t>
  </si>
  <si>
    <t>Tăng Quốc</t>
  </si>
  <si>
    <t>Du</t>
  </si>
  <si>
    <t>Hòa</t>
  </si>
  <si>
    <t>Nguyễn Thế</t>
  </si>
  <si>
    <t>Sang</t>
  </si>
  <si>
    <t>Trần Thụy Cảnh</t>
  </si>
  <si>
    <t>Lữ Văn</t>
  </si>
  <si>
    <t>Mai Văn</t>
  </si>
  <si>
    <t>Trịnh Đăng</t>
  </si>
  <si>
    <t>Trần Thị Hồng</t>
  </si>
  <si>
    <t>Phấn</t>
  </si>
  <si>
    <t>Võ Gia</t>
  </si>
  <si>
    <t>Long</t>
  </si>
  <si>
    <t>Nguyễn Quyết</t>
  </si>
  <si>
    <t>Hồ Chí</t>
  </si>
  <si>
    <t>Nguyễn Bình Phú</t>
  </si>
  <si>
    <t>Dương Hồng</t>
  </si>
  <si>
    <t>Huỳnh Bá Việt</t>
  </si>
  <si>
    <t>Lê Đức</t>
  </si>
  <si>
    <t>Nhanh</t>
  </si>
  <si>
    <t>Lê Kiều</t>
  </si>
  <si>
    <t>Trương Thành</t>
  </si>
  <si>
    <t>Thống</t>
  </si>
  <si>
    <t>Lương Triều</t>
  </si>
  <si>
    <t>Kiên</t>
  </si>
  <si>
    <t>Khỏe</t>
  </si>
  <si>
    <t>Em</t>
  </si>
  <si>
    <t>Lê Thái</t>
  </si>
  <si>
    <t>Phan Nguyễn Hữu</t>
  </si>
  <si>
    <t>Đỗ Thành</t>
  </si>
  <si>
    <t>Đô</t>
  </si>
  <si>
    <t>Nguyễn Mạnh</t>
  </si>
  <si>
    <t>Đình</t>
  </si>
  <si>
    <t>Đinh Văn</t>
  </si>
  <si>
    <t>Khả</t>
  </si>
  <si>
    <t>Huỳnh Gia</t>
  </si>
  <si>
    <t>Mã Quốc</t>
  </si>
  <si>
    <t>Trần Phạm Công</t>
  </si>
  <si>
    <t>Lý Chí</t>
  </si>
  <si>
    <t>DHCNTT18A</t>
  </si>
  <si>
    <t>Huỳnh Diệp Phúc</t>
  </si>
  <si>
    <t>Hảo</t>
  </si>
  <si>
    <t>Nguyễn Kỳ</t>
  </si>
  <si>
    <t>Dương Minh</t>
  </si>
  <si>
    <t>Phạm Lâm Chí</t>
  </si>
  <si>
    <t>Võ Đức</t>
  </si>
  <si>
    <t>Thiện</t>
  </si>
  <si>
    <t>Tiền Anh</t>
  </si>
  <si>
    <t>Lương Anh</t>
  </si>
  <si>
    <t>Quách Cường</t>
  </si>
  <si>
    <t>Huỳnh Hữu</t>
  </si>
  <si>
    <t>Lâm Huỳnh</t>
  </si>
  <si>
    <t>Phạm Tấn</t>
  </si>
  <si>
    <t>Trương Ngọc</t>
  </si>
  <si>
    <t>Bích</t>
  </si>
  <si>
    <t>Trần Lữ Ngọc</t>
  </si>
  <si>
    <t>Vĩnh</t>
  </si>
  <si>
    <t>Sơn Thị Phương</t>
  </si>
  <si>
    <t>Tạ Thành</t>
  </si>
  <si>
    <t>Lương Minh</t>
  </si>
  <si>
    <t>Phụng</t>
  </si>
  <si>
    <t>Hồ Hoàng</t>
  </si>
  <si>
    <t>Thưởng</t>
  </si>
  <si>
    <t>Sa Thế</t>
  </si>
  <si>
    <t>Dân</t>
  </si>
  <si>
    <t>Nguyễn Hoàn</t>
  </si>
  <si>
    <t>Trịnh Minh</t>
  </si>
  <si>
    <t>Huỳnh Phước</t>
  </si>
  <si>
    <t>Đặng Nguyễn Nhật</t>
  </si>
  <si>
    <t>Châu Gia</t>
  </si>
  <si>
    <t>Lưu Hoàng</t>
  </si>
  <si>
    <t>Huỳnh Phúc Thảo</t>
  </si>
  <si>
    <t>Uyên</t>
  </si>
  <si>
    <t>Võ Văn Hữu</t>
  </si>
  <si>
    <t>Nhan Phước</t>
  </si>
  <si>
    <t>Ase</t>
  </si>
  <si>
    <t>Hồ Triểu</t>
  </si>
  <si>
    <t>Lâm</t>
  </si>
  <si>
    <t>Nguyễn Triệu</t>
  </si>
  <si>
    <t>Lý</t>
  </si>
  <si>
    <t>Hứa Thành</t>
  </si>
  <si>
    <t>Đặng Hoàng</t>
  </si>
  <si>
    <t>Phan Thụy Khánh</t>
  </si>
  <si>
    <t>Trần Quang Tuấn</t>
  </si>
  <si>
    <t>Trần Quang</t>
  </si>
  <si>
    <t>Thụy</t>
  </si>
  <si>
    <t>Đỗ Tuấn</t>
  </si>
  <si>
    <t>Lư Thị Tú</t>
  </si>
  <si>
    <t>Khương</t>
  </si>
  <si>
    <t>Bùi Trọng</t>
  </si>
  <si>
    <t>Lý Chánh</t>
  </si>
  <si>
    <t>Lại Hữu</t>
  </si>
  <si>
    <t>Nhật</t>
  </si>
  <si>
    <t>Lê Nguyễn Hữu</t>
  </si>
  <si>
    <t>Huỳnh Phạm Hoàng</t>
  </si>
  <si>
    <t>Oanh</t>
  </si>
  <si>
    <t>Lý Hoàng</t>
  </si>
  <si>
    <t>Trần Thị Ngọc</t>
  </si>
  <si>
    <t>Trâm</t>
  </si>
  <si>
    <t>Lương Thái</t>
  </si>
  <si>
    <t>Chung</t>
  </si>
  <si>
    <t>Trần Thị Cẩm</t>
  </si>
  <si>
    <t>DHCNTT18B</t>
  </si>
  <si>
    <t>Đào Hồng</t>
  </si>
  <si>
    <t>Lê Chí</t>
  </si>
  <si>
    <t>Trương Tấn</t>
  </si>
  <si>
    <t>Di</t>
  </si>
  <si>
    <t>Danh Duy</t>
  </si>
  <si>
    <t>Lâm Thành</t>
  </si>
  <si>
    <t>Dương Hải</t>
  </si>
  <si>
    <t>Âu</t>
  </si>
  <si>
    <t>Quách Gia</t>
  </si>
  <si>
    <t>Nguyễn Thị Nhã</t>
  </si>
  <si>
    <t>Băng</t>
  </si>
  <si>
    <t>Cao Ngọc</t>
  </si>
  <si>
    <t>Võ Văn</t>
  </si>
  <si>
    <t>Phan Phú</t>
  </si>
  <si>
    <t>Mạnh Văn</t>
  </si>
  <si>
    <t>Trịnh Đào</t>
  </si>
  <si>
    <t>Nha</t>
  </si>
  <si>
    <t>Quan</t>
  </si>
  <si>
    <t>Trần Hoàng</t>
  </si>
  <si>
    <t>Nguyễn Công</t>
  </si>
  <si>
    <t>Lê Trung</t>
  </si>
  <si>
    <t>Diệp Thịnh</t>
  </si>
  <si>
    <t>Hà Thanh Quốc</t>
  </si>
  <si>
    <t>Trần Nhựt</t>
  </si>
  <si>
    <t>Trần Ngọc Triệu</t>
  </si>
  <si>
    <t>Bạch Trần Tấn</t>
  </si>
  <si>
    <t>Điệp Đạt</t>
  </si>
  <si>
    <t>Nguyễn Tú</t>
  </si>
  <si>
    <t>Đức</t>
  </si>
  <si>
    <t>Nguyễn Hải Duy</t>
  </si>
  <si>
    <t>Mai Hùng</t>
  </si>
  <si>
    <t>Quách Đình</t>
  </si>
  <si>
    <t>Bùi Quang</t>
  </si>
  <si>
    <t>Phan Thế</t>
  </si>
  <si>
    <t>Lai</t>
  </si>
  <si>
    <t>Huỳnh Trần Chánh</t>
  </si>
  <si>
    <t>Hồ Văn Trọng</t>
  </si>
  <si>
    <t>Đổ Quốc</t>
  </si>
  <si>
    <t>Qui</t>
  </si>
  <si>
    <t>Phan Tấn</t>
  </si>
  <si>
    <t>Hữu</t>
  </si>
  <si>
    <t>Huỳnh Trần Quốc</t>
  </si>
  <si>
    <t>Huỳnh Long</t>
  </si>
  <si>
    <t>Hồ</t>
  </si>
  <si>
    <t>Thạch Hoàng</t>
  </si>
  <si>
    <t>Thương</t>
  </si>
  <si>
    <t>Võ Vương</t>
  </si>
  <si>
    <t>Lã Thị Thanh</t>
  </si>
  <si>
    <t>Huyền</t>
  </si>
  <si>
    <t>Trương Thị Hương</t>
  </si>
  <si>
    <t>Nguyễn Huỳnh Bảo</t>
  </si>
  <si>
    <t>Thiên</t>
  </si>
  <si>
    <t>Lê Hoàng Nhất</t>
  </si>
  <si>
    <t>Nguyễn Thị Như</t>
  </si>
  <si>
    <t>Quy</t>
  </si>
  <si>
    <t>La Khải</t>
  </si>
  <si>
    <t>Ngoan</t>
  </si>
  <si>
    <t>DHCNTT19A</t>
  </si>
  <si>
    <t>Tôn Huy</t>
  </si>
  <si>
    <t>Nguyễn Tâm</t>
  </si>
  <si>
    <t>Mai Trọng</t>
  </si>
  <si>
    <t>Lên</t>
  </si>
  <si>
    <t>Phạm Minh</t>
  </si>
  <si>
    <t>Mai Hiếu</t>
  </si>
  <si>
    <t>Võ Thanh</t>
  </si>
  <si>
    <t>Sơn</t>
  </si>
  <si>
    <t>Đặng Siêu</t>
  </si>
  <si>
    <t>Phàm</t>
  </si>
  <si>
    <t>Đặng Hoài Anh</t>
  </si>
  <si>
    <t>Ôn Thanh</t>
  </si>
  <si>
    <t>Nhã</t>
  </si>
  <si>
    <t>Lưu Trung</t>
  </si>
  <si>
    <t>Phạm Nguyễn Hoàng</t>
  </si>
  <si>
    <t>Đặng Thị Ngọc</t>
  </si>
  <si>
    <t>Ngô Quốc</t>
  </si>
  <si>
    <t>Trương Văn Quốc</t>
  </si>
  <si>
    <t>Nguyễn Lâm Ngọc</t>
  </si>
  <si>
    <t>Kiểu</t>
  </si>
  <si>
    <t>Cảnh</t>
  </si>
  <si>
    <t>Dương Thế</t>
  </si>
  <si>
    <t>Lê Anh</t>
  </si>
  <si>
    <t>Phạm Quốc</t>
  </si>
  <si>
    <t>Nguyễn Công Minh</t>
  </si>
  <si>
    <t>Đặng Long</t>
  </si>
  <si>
    <t>Phan Châu</t>
  </si>
  <si>
    <t>Kỳ</t>
  </si>
  <si>
    <t>Huỳnh Vĩnh</t>
  </si>
  <si>
    <t>Đào Quốc</t>
  </si>
  <si>
    <t>Lâm Chí</t>
  </si>
  <si>
    <t>Phạm Thanh</t>
  </si>
  <si>
    <t>Phạm Huỳnh Doanh</t>
  </si>
  <si>
    <t>Hà Thị Yến</t>
  </si>
  <si>
    <t>Nguyễn Thị Hồng</t>
  </si>
  <si>
    <t>DHCNTT19B</t>
  </si>
  <si>
    <t>Trần Vũ</t>
  </si>
  <si>
    <t>Hân</t>
  </si>
  <si>
    <t>Ngô Tường</t>
  </si>
  <si>
    <t>Đào Đoàn Trung</t>
  </si>
  <si>
    <t>Phan Đình</t>
  </si>
  <si>
    <t>Phục</t>
  </si>
  <si>
    <t>Đỗ Đức</t>
  </si>
  <si>
    <t>Hoài</t>
  </si>
  <si>
    <t>Phan Hoài</t>
  </si>
  <si>
    <t>Lưu Trí</t>
  </si>
  <si>
    <t>Trần Thái</t>
  </si>
  <si>
    <t>Đỗ Nguyễn Hải</t>
  </si>
  <si>
    <t>Thuy</t>
  </si>
  <si>
    <t>Lê Thanh</t>
  </si>
  <si>
    <t>Liêu</t>
  </si>
  <si>
    <t>Phạm Thiều Phú</t>
  </si>
  <si>
    <t>Ngô Thành</t>
  </si>
  <si>
    <t>Đông</t>
  </si>
  <si>
    <t>Tuấn</t>
  </si>
  <si>
    <t>Hồ Thị Mỹ</t>
  </si>
  <si>
    <t>Hồ Quang</t>
  </si>
  <si>
    <t>Cao Mỹ</t>
  </si>
  <si>
    <t>Mỹ</t>
  </si>
  <si>
    <t>Nguyễn Thị Thúy</t>
  </si>
  <si>
    <t>Đinh Tấn</t>
  </si>
  <si>
    <t>Đoàn Thành</t>
  </si>
  <si>
    <t>Công</t>
  </si>
  <si>
    <t>Lý Nhật</t>
  </si>
  <si>
    <t>Hồ Đức</t>
  </si>
  <si>
    <t>Ngô Khải</t>
  </si>
  <si>
    <t>DHD-DT16</t>
  </si>
  <si>
    <t>Lư Hoàng Bảo</t>
  </si>
  <si>
    <t>Hồ Thành</t>
  </si>
  <si>
    <t>Võ Dũ</t>
  </si>
  <si>
    <t>Ngô Hải</t>
  </si>
  <si>
    <t>Tống Ngô Thái Thanh</t>
  </si>
  <si>
    <t>Huỳnh Vỉ</t>
  </si>
  <si>
    <t>Đan</t>
  </si>
  <si>
    <t>Phạm Triệu</t>
  </si>
  <si>
    <t>Lê Khả</t>
  </si>
  <si>
    <t>Châu Quốc</t>
  </si>
  <si>
    <t>Trần Văn Công</t>
  </si>
  <si>
    <t>Trận</t>
  </si>
  <si>
    <t>Nguyễn Võ Tuấn</t>
  </si>
  <si>
    <t>Phù Sê</t>
  </si>
  <si>
    <t>Xia</t>
  </si>
  <si>
    <t>Lý Chanh Sô</t>
  </si>
  <si>
    <t>Phia</t>
  </si>
  <si>
    <t>Trần Trí</t>
  </si>
  <si>
    <t>Nguyễn Trần Hoài</t>
  </si>
  <si>
    <t>Tùng</t>
  </si>
  <si>
    <t>Ngô Huỳnh Đình</t>
  </si>
  <si>
    <t>Hưởng</t>
  </si>
  <si>
    <t>Cao Chí</t>
  </si>
  <si>
    <t>Lư Quốc</t>
  </si>
  <si>
    <t>Trương Phú</t>
  </si>
  <si>
    <t>Nhuận</t>
  </si>
  <si>
    <t>Dũng</t>
  </si>
  <si>
    <t>Nguyễn Vĩ</t>
  </si>
  <si>
    <t>Trương Duy</t>
  </si>
  <si>
    <t>Đỗ Hồng</t>
  </si>
  <si>
    <t>Sil</t>
  </si>
  <si>
    <t>DHD-DT17</t>
  </si>
  <si>
    <t>Lâm Minh</t>
  </si>
  <si>
    <t>Ngô Quang</t>
  </si>
  <si>
    <t>Dương Trọng</t>
  </si>
  <si>
    <t>Hửu</t>
  </si>
  <si>
    <t>Thái Trung</t>
  </si>
  <si>
    <t>Thức</t>
  </si>
  <si>
    <t>Chắc</t>
  </si>
  <si>
    <t>Phan Hoàng</t>
  </si>
  <si>
    <t>Đoàn Đức</t>
  </si>
  <si>
    <t>Khã</t>
  </si>
  <si>
    <t>Trần Thị Thúy</t>
  </si>
  <si>
    <t>Cà</t>
  </si>
  <si>
    <t>Nguyễn Văn Nguyên</t>
  </si>
  <si>
    <t>Hà</t>
  </si>
  <si>
    <t>Dinh</t>
  </si>
  <si>
    <t>Vi Hoàng</t>
  </si>
  <si>
    <t>Cương</t>
  </si>
  <si>
    <t>Tinh</t>
  </si>
  <si>
    <t>Toản</t>
  </si>
  <si>
    <t>Lăng Trung</t>
  </si>
  <si>
    <t>Võ Huỳnh</t>
  </si>
  <si>
    <t>Mai Minh</t>
  </si>
  <si>
    <t>Quách Phú</t>
  </si>
  <si>
    <t>Phạm Khánh</t>
  </si>
  <si>
    <t>Nguyễn Việt Đăng</t>
  </si>
  <si>
    <t>Trần Tuấn</t>
  </si>
  <si>
    <t>Trương Hải</t>
  </si>
  <si>
    <t>Tạ Nguyên</t>
  </si>
  <si>
    <t>DHD-DT18</t>
  </si>
  <si>
    <t>Tô Thành</t>
  </si>
  <si>
    <t>Trương Quốc</t>
  </si>
  <si>
    <t>Hợp</t>
  </si>
  <si>
    <t>Triệu</t>
  </si>
  <si>
    <t>Đặng Tuấn</t>
  </si>
  <si>
    <t>Đặng Ngọc</t>
  </si>
  <si>
    <t>Hồ Tường</t>
  </si>
  <si>
    <t>Phan Cảnh</t>
  </si>
  <si>
    <t>Thăng</t>
  </si>
  <si>
    <t>Huỳnh Thế</t>
  </si>
  <si>
    <t>Lý Thái</t>
  </si>
  <si>
    <t>Trà Minh</t>
  </si>
  <si>
    <t>Lê Trọng</t>
  </si>
  <si>
    <t>Kim Hoàng</t>
  </si>
  <si>
    <t>Danh Trường</t>
  </si>
  <si>
    <t>Nguyễn Dương Phước</t>
  </si>
  <si>
    <t>Chiến</t>
  </si>
  <si>
    <t>Danh Thanh</t>
  </si>
  <si>
    <t>Nguyễn Phạm Văn Phú</t>
  </si>
  <si>
    <t>Trầm</t>
  </si>
  <si>
    <t>Lê Nguyễn Xa</t>
  </si>
  <si>
    <t>Phan Gia</t>
  </si>
  <si>
    <t>Đổ Minh</t>
  </si>
  <si>
    <t>Tịnh</t>
  </si>
  <si>
    <t>Lê Nguyễn Minh</t>
  </si>
  <si>
    <t>Lê Bảo</t>
  </si>
  <si>
    <t>DHD-DT19</t>
  </si>
  <si>
    <t>Đào Quang</t>
  </si>
  <si>
    <t>Võ Dương Quốc</t>
  </si>
  <si>
    <t>Ninh</t>
  </si>
  <si>
    <t>Nguyễn Hồ Hữu</t>
  </si>
  <si>
    <t>Thừa</t>
  </si>
  <si>
    <t>Trương Nhật</t>
  </si>
  <si>
    <t>Phạm Vũ Phi</t>
  </si>
  <si>
    <t>Lê Hoàng Bảo</t>
  </si>
  <si>
    <t>Nhứt</t>
  </si>
  <si>
    <t>Nguyễn Hà Phước</t>
  </si>
  <si>
    <t>Phạm Hoàng</t>
  </si>
  <si>
    <t>Hoàng Duy</t>
  </si>
  <si>
    <t>Phan Thái Nhựt</t>
  </si>
  <si>
    <t>Giáp Thành</t>
  </si>
  <si>
    <t>Lập</t>
  </si>
  <si>
    <t>Nguyễn Vĩnh</t>
  </si>
  <si>
    <t>Trần Lê Nhật</t>
  </si>
  <si>
    <t>Nguyễn Vỉnh</t>
  </si>
  <si>
    <t>Đỗ Gia</t>
  </si>
  <si>
    <t>Nguyễn Vũ Duy</t>
  </si>
  <si>
    <t>Lê Hoài</t>
  </si>
  <si>
    <t>Dụy</t>
  </si>
  <si>
    <t>Cần Thơ,    ngày       tháng      năm 2025</t>
  </si>
  <si>
    <t xml:space="preserve">Lớp Trưởng </t>
  </si>
  <si>
    <t xml:space="preserve">Bí thư đoàn khoa </t>
  </si>
  <si>
    <t xml:space="preserve">Cố vấn học tập </t>
  </si>
  <si>
    <r>
      <t xml:space="preserve">  </t>
    </r>
    <r>
      <rPr>
        <b/>
        <color indexed="8"/>
        <family val="1"/>
        <sz val="12"/>
        <rFont val="Times New Roman"/>
      </rPr>
      <t xml:space="preserve">Khoa </t>
    </r>
  </si>
  <si>
    <t>Tổng SV</t>
  </si>
  <si>
    <t>Số SV nghỉ</t>
  </si>
  <si>
    <t>Cần Thơ , Ngày     tháng         năm 2025</t>
  </si>
  <si>
    <t>Lớp Trưởng</t>
  </si>
  <si>
    <t>Bí Thư Đoàn Khoa</t>
  </si>
  <si>
    <t xml:space="preserve">Khoa Bộ môn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</si>
</sst>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color indexed="8"/>
      <family val="1"/>
      <sz val="14"/>
      <name val="Times New Roman"/>
    </font>
    <font>
      <b/>
      <color indexed="8"/>
      <family val="1"/>
      <sz val="14"/>
      <name val="Times New Roman"/>
    </font>
    <font>
      <color theme="1"/>
      <family val="1"/>
      <sz val="12"/>
      <name val="Times New Roman"/>
    </font>
    <font>
      <color theme="1"/>
      <family val="1"/>
      <sz val="10"/>
      <name val="Times New Roman"/>
    </font>
    <font>
      <color theme="1"/>
      <family val="2"/>
      <scheme val="minor"/>
      <sz val="10"/>
      <name val="Calibri"/>
    </font>
    <font>
      <color rgb="FFFF0000"/>
      <family val="1"/>
      <sz val="12"/>
      <name val="Times New Roman"/>
    </font>
    <font>
      <b/>
      <color theme="1"/>
      <family val="1"/>
      <sz val="10"/>
      <name val="Times New Roman"/>
    </font>
    <font>
      <family val="1"/>
      <sz val="12"/>
      <name val="Times New Roman"/>
    </font>
    <font>
      <family val="1"/>
      <sz val="10"/>
      <name val="Times New Roman"/>
    </font>
    <font>
      <i/>
      <color indexed="8"/>
      <family val="1"/>
      <sz val="14"/>
      <name val="Times New Roman"/>
    </font>
    <font>
      <b/>
      <color indexed="8"/>
      <family val="1"/>
      <sz val="12"/>
      <name val="Times New Roman"/>
    </font>
    <font>
      <b/>
      <i/>
      <color indexed="8"/>
      <family val="1"/>
      <sz val="12"/>
      <name val="Times New Roman"/>
    </font>
    <font>
      <color indexed="8"/>
      <family val="1"/>
      <sz val="12"/>
      <name val="Times New Roman"/>
    </font>
    <font>
      <i/>
      <color indexed="8"/>
      <family val="1"/>
      <sz val="12"/>
      <name val="Times New Roman"/>
    </font>
    <font>
      <b/>
      <color indexed="8"/>
      <family val="1"/>
      <sz val="1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indent="9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2</xdr:row>
      <xdr:rowOff>127934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853</xdr:row>
      <xdr:rowOff>0</xdr:rowOff>
    </xdr:from>
    <xdr:to>
      <xdr:col>8</xdr:col>
      <xdr:colOff>0</xdr:colOff>
      <xdr:row>866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853</xdr:row>
      <xdr:rowOff>0</xdr:rowOff>
    </xdr:from>
    <xdr:to>
      <xdr:col>8</xdr:col>
      <xdr:colOff>0</xdr:colOff>
      <xdr:row>866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1"/>
  <sheetViews>
    <sheetView workbookViewId="0" zoomScale="100" zoomScaleNormal="100">
      <selection activeCell="H29" sqref="H29"/>
    </sheetView>
  </sheetViews>
  <sheetFormatPr defaultRowHeight="14.4" outlineLevelRow="0" outlineLevelCol="0" x14ac:dyDescent="0.3" customHeight="1"/>
  <cols>
    <col min="1" max="1" width="4.88671875" customWidth="1"/>
    <col min="2" max="2" width="12.33203125" customWidth="1"/>
    <col min="3" max="3" width="21" customWidth="1"/>
    <col min="4" max="4" width="7.6640625" customWidth="1"/>
    <col min="5" max="5" width="6.5546875" customWidth="1"/>
    <col min="6" max="6" width="9.109375" customWidth="1"/>
    <col min="7" max="7" width="22.6640625" customWidth="1"/>
    <col min="8" max="8" width="15.6640625" customWidth="1"/>
  </cols>
  <sheetData>
    <row r="1" ht="18" customHeight="1" spans="1:8" x14ac:dyDescent="0.25">
      <c r="A1" s="1"/>
      <c r="B1" s="2"/>
      <c r="C1" s="3"/>
      <c r="D1" s="4"/>
      <c r="E1" s="5"/>
      <c r="F1" s="5"/>
      <c r="G1" s="5"/>
      <c r="H1" s="1"/>
    </row>
    <row r="2" ht="18" customHeight="1" spans="1:8" x14ac:dyDescent="0.25">
      <c r="A2" s="1"/>
      <c r="B2" s="1"/>
      <c r="C2" s="6"/>
      <c r="D2" s="7"/>
      <c r="E2" s="8"/>
      <c r="F2" s="8"/>
      <c r="G2" s="5"/>
      <c r="H2" s="1"/>
    </row>
    <row r="3" ht="18" customHeight="1" spans="1:8" x14ac:dyDescent="0.25">
      <c r="A3" s="8" t="s">
        <v>0</v>
      </c>
      <c r="B3" s="8"/>
      <c r="C3" s="8"/>
      <c r="D3" s="7"/>
      <c r="E3" s="8"/>
      <c r="F3" s="8"/>
      <c r="G3" s="8"/>
      <c r="H3" s="8"/>
    </row>
    <row r="4" ht="4.5" customHeight="1" hidden="1" spans="1:8" x14ac:dyDescent="0.25">
      <c r="A4" s="8"/>
      <c r="B4" s="8"/>
      <c r="C4" s="8"/>
      <c r="D4" s="8"/>
      <c r="E4" s="8"/>
      <c r="F4" s="8"/>
      <c r="G4" s="8"/>
      <c r="H4" s="8"/>
    </row>
    <row r="5" ht="18" customHeight="1" spans="1:16" x14ac:dyDescent="0.25">
      <c r="A5" s="1" t="s">
        <v>1</v>
      </c>
      <c r="B5" s="9"/>
      <c r="C5" s="9"/>
      <c r="D5" s="9"/>
      <c r="E5" s="1"/>
      <c r="F5" s="1"/>
      <c r="G5" s="1"/>
      <c r="H5" s="1"/>
      <c r="P5" t="s">
        <v>2</v>
      </c>
    </row>
    <row r="6" ht="18" customHeight="1" spans="1:8" x14ac:dyDescent="0.25">
      <c r="A6" s="9" t="s">
        <v>3</v>
      </c>
      <c r="B6" s="9"/>
      <c r="C6" s="9"/>
      <c r="D6" s="9"/>
      <c r="E6" s="1" t="s">
        <v>4</v>
      </c>
      <c r="F6" s="1"/>
      <c r="G6" s="1"/>
      <c r="H6" s="1"/>
    </row>
    <row r="7" ht="18" customHeight="1" spans="1:8" x14ac:dyDescent="0.25">
      <c r="A7" s="1" t="s">
        <v>5</v>
      </c>
      <c r="B7" s="9"/>
      <c r="C7" s="9"/>
      <c r="D7" s="9"/>
      <c r="E7" s="1"/>
      <c r="F7" s="1"/>
      <c r="G7" s="1"/>
      <c r="H7" s="8"/>
    </row>
    <row r="8" ht="15.6" customHeight="1" spans="1:16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11" t="s">
        <v>13</v>
      </c>
    </row>
    <row r="9" ht="15.75" customHeight="1" spans="1:16" x14ac:dyDescent="0.25">
      <c r="A9" s="12">
        <f>_xlfn.AGGREGATE(3,3,$B$9:B9)</f>
        <v>1</v>
      </c>
      <c r="B9" s="12">
        <v>217080001</v>
      </c>
      <c r="C9" s="12" t="s">
        <v>14</v>
      </c>
      <c r="D9" s="12" t="s">
        <v>15</v>
      </c>
      <c r="E9" s="13"/>
      <c r="F9" s="13"/>
      <c r="G9" s="14"/>
      <c r="H9" s="15" t="s">
        <v>16</v>
      </c>
    </row>
    <row r="10" ht="15.75" customHeight="1" spans="1:16" x14ac:dyDescent="0.25">
      <c r="A10" s="12">
        <f>_xlfn.AGGREGATE(3,3,$B$9:B10)</f>
        <v>2</v>
      </c>
      <c r="B10" s="12">
        <v>217080003</v>
      </c>
      <c r="C10" s="12" t="s">
        <v>17</v>
      </c>
      <c r="D10" s="12" t="s">
        <v>18</v>
      </c>
      <c r="E10" s="13"/>
      <c r="F10" s="13"/>
      <c r="G10" s="14"/>
      <c r="H10" s="15" t="s">
        <v>16</v>
      </c>
    </row>
    <row r="11" ht="15.75" customHeight="1" spans="1:16" x14ac:dyDescent="0.25">
      <c r="A11" s="12">
        <f>_xlfn.AGGREGATE(3,3,$B$9:B11)</f>
        <v>3</v>
      </c>
      <c r="B11" s="12">
        <v>217080004</v>
      </c>
      <c r="C11" s="12" t="s">
        <v>19</v>
      </c>
      <c r="D11" s="12" t="s">
        <v>20</v>
      </c>
      <c r="E11" s="13"/>
      <c r="F11" s="13"/>
      <c r="G11" s="14"/>
      <c r="H11" s="15" t="s">
        <v>16</v>
      </c>
    </row>
    <row r="12" ht="15.75" customHeight="1" spans="1:16" x14ac:dyDescent="0.25">
      <c r="A12" s="12"/>
      <c r="B12" s="12"/>
      <c r="C12" s="12"/>
      <c r="D12" s="12"/>
      <c r="E12" s="13"/>
      <c r="F12" s="13"/>
      <c r="G12" s="14"/>
      <c r="H12" s="15"/>
    </row>
    <row r="13" ht="15.75" customHeight="1" spans="1:16" x14ac:dyDescent="0.25">
      <c r="A13" s="12"/>
      <c r="B13" s="12"/>
      <c r="C13" s="12"/>
      <c r="D13" s="12"/>
      <c r="E13" s="13"/>
      <c r="F13" s="13"/>
      <c r="G13" s="16"/>
      <c r="H13" s="15"/>
    </row>
    <row r="14" ht="15.75" customHeight="1" spans="1:16" x14ac:dyDescent="0.25">
      <c r="A14" s="12"/>
      <c r="B14" s="12"/>
      <c r="C14" s="12"/>
      <c r="D14" s="12"/>
      <c r="E14" s="13"/>
      <c r="F14" s="13"/>
      <c r="G14" s="14"/>
      <c r="H14" s="15"/>
    </row>
    <row r="15" ht="15.75" customHeight="1" spans="1:16" x14ac:dyDescent="0.25">
      <c r="A15" s="12"/>
      <c r="B15" s="12"/>
      <c r="C15" s="12"/>
      <c r="D15" s="12"/>
      <c r="E15" s="13"/>
      <c r="F15" s="13"/>
      <c r="G15" s="14"/>
      <c r="H15" s="15"/>
    </row>
    <row r="16" ht="15.75" customHeight="1" spans="1:16" x14ac:dyDescent="0.25">
      <c r="A16" s="12"/>
      <c r="B16" s="12"/>
      <c r="C16" s="12"/>
      <c r="D16" s="12"/>
      <c r="E16" s="13"/>
      <c r="F16" s="13"/>
      <c r="G16" s="14"/>
      <c r="H16" s="15"/>
    </row>
    <row r="17" ht="15.75" customHeight="1" spans="1:16" x14ac:dyDescent="0.25">
      <c r="A17" s="12"/>
      <c r="B17" s="12"/>
      <c r="C17" s="12"/>
      <c r="D17" s="12"/>
      <c r="E17" s="13"/>
      <c r="F17" s="13"/>
      <c r="G17" s="14"/>
      <c r="H17" s="15"/>
    </row>
    <row r="18" ht="15.75" customHeight="1" spans="1:16" x14ac:dyDescent="0.25">
      <c r="A18" s="12"/>
      <c r="B18" s="12"/>
      <c r="C18" s="12"/>
      <c r="D18" s="12"/>
      <c r="E18" s="17"/>
      <c r="F18" s="13"/>
      <c r="G18" s="14"/>
      <c r="H18" s="15"/>
    </row>
    <row r="19" ht="15.75" customHeight="1" spans="1:16" x14ac:dyDescent="0.25">
      <c r="A19" s="12"/>
      <c r="B19" s="12"/>
      <c r="C19" s="12"/>
      <c r="D19" s="12"/>
      <c r="E19" s="13"/>
      <c r="F19" s="13"/>
      <c r="G19" s="14"/>
      <c r="H19" s="15"/>
    </row>
    <row r="20" ht="15.75" customHeight="1" spans="1:16" x14ac:dyDescent="0.25">
      <c r="A20" s="12"/>
      <c r="B20" s="12"/>
      <c r="C20" s="12"/>
      <c r="D20" s="12"/>
      <c r="E20" s="13"/>
      <c r="F20" s="13"/>
      <c r="G20" s="14"/>
      <c r="H20" s="15"/>
    </row>
    <row r="21" ht="15.75" customHeight="1" spans="1:16" x14ac:dyDescent="0.25">
      <c r="A21" s="12"/>
      <c r="B21" s="12"/>
      <c r="C21" s="12"/>
      <c r="D21" s="12"/>
      <c r="E21" s="13"/>
      <c r="F21" s="13"/>
      <c r="G21" s="14"/>
      <c r="H21" s="15"/>
    </row>
    <row r="22" ht="15.75" customHeight="1" spans="1:16" x14ac:dyDescent="0.25">
      <c r="A22" s="12"/>
      <c r="B22" s="12"/>
      <c r="C22" s="12"/>
      <c r="D22" s="12"/>
      <c r="E22" s="13"/>
      <c r="F22" s="13"/>
      <c r="G22" s="14"/>
      <c r="H22" s="15"/>
    </row>
    <row r="23" ht="15.75" customHeight="1" spans="1:16" x14ac:dyDescent="0.25">
      <c r="A23" s="12"/>
      <c r="B23" s="18"/>
      <c r="C23" s="18"/>
      <c r="D23" s="18"/>
      <c r="E23" s="19"/>
      <c r="F23" s="13"/>
      <c r="G23" s="20"/>
      <c r="H23" s="21"/>
    </row>
    <row r="24" ht="15.75" customHeight="1" spans="1:16" x14ac:dyDescent="0.25">
      <c r="A24" s="12"/>
      <c r="B24" s="12"/>
      <c r="C24" s="12"/>
      <c r="D24" s="12"/>
      <c r="E24" s="13"/>
      <c r="F24" s="13"/>
      <c r="G24" s="14"/>
      <c r="H24" s="15"/>
    </row>
    <row r="25" ht="15.75" customHeight="1" spans="1:16" x14ac:dyDescent="0.25">
      <c r="A25" s="12"/>
      <c r="B25" s="12"/>
      <c r="C25" s="12"/>
      <c r="D25" s="12"/>
      <c r="E25" s="13"/>
      <c r="F25" s="13"/>
      <c r="G25" s="14"/>
      <c r="H25" s="15"/>
    </row>
    <row r="26" ht="15.75" customHeight="1" spans="1:16" x14ac:dyDescent="0.25">
      <c r="A26" s="12"/>
      <c r="B26" s="12"/>
      <c r="C26" s="12"/>
      <c r="D26" s="12"/>
      <c r="E26" s="13"/>
      <c r="F26" s="13"/>
      <c r="G26" s="14"/>
      <c r="H26" s="15"/>
    </row>
    <row r="27" ht="15.75" customHeight="1" spans="1:16" x14ac:dyDescent="0.25">
      <c r="A27" s="12"/>
      <c r="B27" s="12"/>
      <c r="C27" s="12"/>
      <c r="D27" s="12"/>
      <c r="E27" s="13"/>
      <c r="F27" s="13"/>
      <c r="G27" s="14"/>
      <c r="H27" s="15"/>
    </row>
    <row r="28" ht="15.75" customHeight="1" spans="1:16" x14ac:dyDescent="0.25">
      <c r="A28" s="12"/>
      <c r="B28" s="12"/>
      <c r="C28" s="12"/>
      <c r="D28" s="12"/>
      <c r="E28" s="13"/>
      <c r="F28" s="13"/>
      <c r="G28" s="14"/>
      <c r="H28" s="15"/>
    </row>
    <row r="29" ht="15.75" customHeight="1" spans="1:16" x14ac:dyDescent="0.25">
      <c r="A29" s="12"/>
      <c r="B29" s="12"/>
      <c r="C29" s="12"/>
      <c r="D29" s="12"/>
      <c r="E29" s="13"/>
      <c r="F29" s="13"/>
      <c r="G29" s="14"/>
      <c r="H29" s="15"/>
    </row>
    <row r="30" ht="15.75" customHeight="1" spans="1:16" x14ac:dyDescent="0.25">
      <c r="A30" s="12">
        <f>_xlfn.AGGREGATE(3,3,$B$9:B30)</f>
        <v>4</v>
      </c>
      <c r="B30" s="12">
        <v>217080033</v>
      </c>
      <c r="C30" s="12" t="s">
        <v>21</v>
      </c>
      <c r="D30" s="12" t="s">
        <v>22</v>
      </c>
      <c r="E30" s="13"/>
      <c r="F30" s="13"/>
      <c r="G30" s="14"/>
      <c r="H30" s="15" t="s">
        <v>16</v>
      </c>
    </row>
    <row r="31" ht="15.75" customHeight="1" spans="1:16" x14ac:dyDescent="0.25">
      <c r="A31" s="12">
        <f>_xlfn.AGGREGATE(3,3,$B$9:B31)</f>
        <v>5</v>
      </c>
      <c r="B31" s="12">
        <v>217080034</v>
      </c>
      <c r="C31" s="12" t="s">
        <v>23</v>
      </c>
      <c r="D31" s="12" t="s">
        <v>24</v>
      </c>
      <c r="E31" s="13"/>
      <c r="F31" s="13"/>
      <c r="G31" s="14"/>
      <c r="H31" s="15" t="s">
        <v>16</v>
      </c>
    </row>
    <row r="32" ht="15.75" customHeight="1" spans="1:16" x14ac:dyDescent="0.25">
      <c r="A32" s="12">
        <f>_xlfn.AGGREGATE(3,3,$B$9:B32)</f>
        <v>6</v>
      </c>
      <c r="B32" s="18">
        <v>217080035</v>
      </c>
      <c r="C32" s="18" t="s">
        <v>25</v>
      </c>
      <c r="D32" s="18" t="s">
        <v>26</v>
      </c>
      <c r="E32" s="19"/>
      <c r="F32" s="13"/>
      <c r="G32" s="20">
        <f>$G$17</f>
        <v>0</v>
      </c>
      <c r="H32" s="21" t="s">
        <v>16</v>
      </c>
    </row>
    <row r="33" ht="15.75" customHeight="1" spans="1:16" x14ac:dyDescent="0.25">
      <c r="A33" s="12">
        <f>_xlfn.AGGREGATE(3,3,$B$9:B33)</f>
        <v>7</v>
      </c>
      <c r="B33" s="12">
        <v>217080037</v>
      </c>
      <c r="C33" s="12" t="s">
        <v>27</v>
      </c>
      <c r="D33" s="12" t="s">
        <v>28</v>
      </c>
      <c r="E33" s="13"/>
      <c r="F33" s="13"/>
      <c r="G33" s="14">
        <f>$G$17</f>
        <v>0</v>
      </c>
      <c r="H33" s="15" t="s">
        <v>16</v>
      </c>
    </row>
    <row r="34" ht="15.75" customHeight="1" spans="1:16" x14ac:dyDescent="0.25">
      <c r="A34" s="12">
        <f>_xlfn.AGGREGATE(3,3,$B$9:B34)</f>
        <v>8</v>
      </c>
      <c r="B34" s="12">
        <v>217080039</v>
      </c>
      <c r="C34" s="12" t="s">
        <v>29</v>
      </c>
      <c r="D34" s="12" t="s">
        <v>30</v>
      </c>
      <c r="E34" s="13"/>
      <c r="F34" s="13"/>
      <c r="G34" s="14"/>
      <c r="H34" s="15" t="s">
        <v>16</v>
      </c>
    </row>
    <row r="35" ht="15.75" customHeight="1" spans="1:16" x14ac:dyDescent="0.25">
      <c r="A35" s="12">
        <f>_xlfn.AGGREGATE(3,3,$B$9:B35)</f>
        <v>9</v>
      </c>
      <c r="B35" s="12">
        <v>217080040</v>
      </c>
      <c r="C35" s="12" t="s">
        <v>31</v>
      </c>
      <c r="D35" s="12" t="s">
        <v>32</v>
      </c>
      <c r="E35" s="13"/>
      <c r="F35" s="13"/>
      <c r="G35" s="14"/>
      <c r="H35" s="15" t="s">
        <v>16</v>
      </c>
    </row>
    <row r="36" ht="15.75" customHeight="1" spans="1:16" x14ac:dyDescent="0.25">
      <c r="A36" s="12">
        <f>_xlfn.AGGREGATE(3,3,$B$9:B36)</f>
        <v>10</v>
      </c>
      <c r="B36" s="12">
        <v>217080044</v>
      </c>
      <c r="C36" s="12" t="s">
        <v>33</v>
      </c>
      <c r="D36" s="12" t="s">
        <v>34</v>
      </c>
      <c r="E36" s="13"/>
      <c r="F36" s="13"/>
      <c r="G36" s="14"/>
      <c r="H36" s="15" t="s">
        <v>16</v>
      </c>
    </row>
    <row r="37" ht="15.75" customHeight="1" spans="1:16" x14ac:dyDescent="0.25">
      <c r="A37" s="12">
        <f>_xlfn.AGGREGATE(3,3,$B$9:B37)</f>
        <v>11</v>
      </c>
      <c r="B37" s="12">
        <v>217080045</v>
      </c>
      <c r="C37" s="12" t="s">
        <v>35</v>
      </c>
      <c r="D37" s="12" t="s">
        <v>36</v>
      </c>
      <c r="E37" s="13"/>
      <c r="F37" s="13"/>
      <c r="G37" s="14">
        <f>$G$17</f>
        <v>0</v>
      </c>
      <c r="H37" s="15" t="s">
        <v>16</v>
      </c>
    </row>
    <row r="38" ht="15.75" customHeight="1" spans="1:16" x14ac:dyDescent="0.25">
      <c r="A38" s="12">
        <f>_xlfn.AGGREGATE(3,3,$B$9:B38)</f>
        <v>12</v>
      </c>
      <c r="B38" s="12">
        <v>217080046</v>
      </c>
      <c r="C38" s="12" t="s">
        <v>37</v>
      </c>
      <c r="D38" s="12" t="s">
        <v>38</v>
      </c>
      <c r="E38" s="13"/>
      <c r="F38" s="13"/>
      <c r="G38" s="14">
        <f>$G$22</f>
        <v>0</v>
      </c>
      <c r="H38" s="15" t="s">
        <v>16</v>
      </c>
    </row>
    <row r="39" ht="15.75" customHeight="1" spans="1:16" x14ac:dyDescent="0.25">
      <c r="A39" s="12">
        <f>_xlfn.AGGREGATE(3,3,$B$9:B39)</f>
        <v>13</v>
      </c>
      <c r="B39" s="12">
        <v>227080002</v>
      </c>
      <c r="C39" s="12" t="s">
        <v>39</v>
      </c>
      <c r="D39" s="12" t="s">
        <v>40</v>
      </c>
      <c r="E39" s="13"/>
      <c r="F39" s="13"/>
      <c r="G39" s="14"/>
      <c r="H39" s="22" t="s">
        <v>41</v>
      </c>
    </row>
    <row r="40" ht="15.75" customHeight="1" spans="1:16" x14ac:dyDescent="0.25">
      <c r="A40" s="12">
        <f>_xlfn.AGGREGATE(3,3,$B$9:B40)</f>
        <v>14</v>
      </c>
      <c r="B40" s="12">
        <v>227080003</v>
      </c>
      <c r="C40" s="12" t="s">
        <v>42</v>
      </c>
      <c r="D40" s="12" t="s">
        <v>43</v>
      </c>
      <c r="E40" s="13"/>
      <c r="F40" s="13"/>
      <c r="G40" s="14"/>
      <c r="H40" s="22" t="s">
        <v>41</v>
      </c>
    </row>
    <row r="41" ht="15.75" customHeight="1" spans="1:16" x14ac:dyDescent="0.25">
      <c r="A41" s="12">
        <f>_xlfn.AGGREGATE(3,3,$B$9:B41)</f>
        <v>15</v>
      </c>
      <c r="B41" s="18">
        <v>227080004</v>
      </c>
      <c r="C41" s="18" t="s">
        <v>44</v>
      </c>
      <c r="D41" s="18" t="s">
        <v>45</v>
      </c>
      <c r="E41" s="19"/>
      <c r="F41" s="13"/>
      <c r="G41" s="20"/>
      <c r="H41" s="23" t="s">
        <v>41</v>
      </c>
    </row>
    <row r="42" ht="15.75" customHeight="1" spans="1:16" x14ac:dyDescent="0.25">
      <c r="A42" s="12">
        <f>_xlfn.AGGREGATE(3,3,$B$9:B42)</f>
        <v>16</v>
      </c>
      <c r="B42" s="12">
        <v>227080005</v>
      </c>
      <c r="C42" s="12" t="s">
        <v>46</v>
      </c>
      <c r="D42" s="12" t="s">
        <v>47</v>
      </c>
      <c r="E42" s="13"/>
      <c r="F42" s="13"/>
      <c r="G42" s="14"/>
      <c r="H42" s="22" t="s">
        <v>41</v>
      </c>
    </row>
    <row r="43" ht="15.75" customHeight="1" spans="1:16" x14ac:dyDescent="0.25">
      <c r="A43" s="12">
        <f>_xlfn.AGGREGATE(3,3,$B$9:B43)</f>
        <v>17</v>
      </c>
      <c r="B43" s="12">
        <v>227080006</v>
      </c>
      <c r="C43" s="12" t="s">
        <v>23</v>
      </c>
      <c r="D43" s="12" t="s">
        <v>48</v>
      </c>
      <c r="E43" s="13"/>
      <c r="F43" s="13"/>
      <c r="G43" s="14"/>
      <c r="H43" s="22" t="s">
        <v>41</v>
      </c>
    </row>
    <row r="44" ht="15.75" customHeight="1" spans="1:16" x14ac:dyDescent="0.25">
      <c r="A44" s="12">
        <f>_xlfn.AGGREGATE(3,3,$B$9:B44)</f>
        <v>18</v>
      </c>
      <c r="B44" s="12">
        <v>227080007</v>
      </c>
      <c r="C44" s="12" t="s">
        <v>49</v>
      </c>
      <c r="D44" s="12" t="s">
        <v>50</v>
      </c>
      <c r="E44" s="13"/>
      <c r="F44" s="13"/>
      <c r="G44" s="14"/>
      <c r="H44" s="22" t="s">
        <v>41</v>
      </c>
    </row>
    <row r="45" ht="15.75" customHeight="1" spans="1:16" x14ac:dyDescent="0.25">
      <c r="A45" s="12">
        <f>_xlfn.AGGREGATE(3,3,$B$9:B45)</f>
        <v>19</v>
      </c>
      <c r="B45" s="12">
        <v>227080009</v>
      </c>
      <c r="C45" s="12" t="s">
        <v>51</v>
      </c>
      <c r="D45" s="12" t="s">
        <v>52</v>
      </c>
      <c r="E45" s="13"/>
      <c r="F45" s="13"/>
      <c r="G45" s="14">
        <f>$G$38</f>
        <v>0</v>
      </c>
      <c r="H45" s="22" t="s">
        <v>41</v>
      </c>
    </row>
    <row r="46" ht="15.75" customHeight="1" spans="1:16" x14ac:dyDescent="0.25">
      <c r="A46" s="12">
        <f>_xlfn.AGGREGATE(3,3,$B$9:B46)</f>
        <v>20</v>
      </c>
      <c r="B46" s="12">
        <v>227080011</v>
      </c>
      <c r="C46" s="12" t="s">
        <v>53</v>
      </c>
      <c r="D46" s="12" t="s">
        <v>54</v>
      </c>
      <c r="E46" s="13"/>
      <c r="F46" s="13"/>
      <c r="G46" s="14"/>
      <c r="H46" s="22" t="s">
        <v>41</v>
      </c>
    </row>
    <row r="47" ht="15.75" customHeight="1" spans="1:16" x14ac:dyDescent="0.25">
      <c r="A47" s="12">
        <f>_xlfn.AGGREGATE(3,3,$B$9:B47)</f>
        <v>21</v>
      </c>
      <c r="B47" s="12">
        <v>227080012</v>
      </c>
      <c r="C47" s="12" t="s">
        <v>55</v>
      </c>
      <c r="D47" s="12" t="s">
        <v>56</v>
      </c>
      <c r="E47" s="13"/>
      <c r="F47" s="13"/>
      <c r="G47" s="14"/>
      <c r="H47" s="22" t="s">
        <v>41</v>
      </c>
    </row>
    <row r="48" ht="15.75" customHeight="1" spans="1:16" x14ac:dyDescent="0.25">
      <c r="A48" s="12">
        <f>_xlfn.AGGREGATE(3,3,$B$9:B48)</f>
        <v>22</v>
      </c>
      <c r="B48" s="12">
        <v>227080014</v>
      </c>
      <c r="C48" s="12" t="s">
        <v>57</v>
      </c>
      <c r="D48" s="12" t="s">
        <v>58</v>
      </c>
      <c r="E48" s="13"/>
      <c r="F48" s="13"/>
      <c r="G48" s="14"/>
      <c r="H48" s="22" t="s">
        <v>41</v>
      </c>
    </row>
    <row r="49" ht="15.75" customHeight="1" spans="1:16" x14ac:dyDescent="0.25">
      <c r="A49" s="12">
        <f>_xlfn.AGGREGATE(3,3,$B$9:B49)</f>
        <v>23</v>
      </c>
      <c r="B49" s="12">
        <v>227080015</v>
      </c>
      <c r="C49" s="12" t="s">
        <v>59</v>
      </c>
      <c r="D49" s="12" t="s">
        <v>60</v>
      </c>
      <c r="E49" s="13"/>
      <c r="F49" s="13"/>
      <c r="G49" s="14"/>
      <c r="H49" s="22" t="s">
        <v>41</v>
      </c>
    </row>
    <row r="50" ht="15.75" customHeight="1" spans="1:16" x14ac:dyDescent="0.25">
      <c r="A50" s="12">
        <f>_xlfn.AGGREGATE(3,3,$B$9:B50)</f>
        <v>24</v>
      </c>
      <c r="B50" s="18">
        <v>227080016</v>
      </c>
      <c r="C50" s="18" t="s">
        <v>61</v>
      </c>
      <c r="D50" s="18" t="s">
        <v>62</v>
      </c>
      <c r="E50" s="19"/>
      <c r="F50" s="13"/>
      <c r="G50" s="20"/>
      <c r="H50" s="23" t="s">
        <v>41</v>
      </c>
    </row>
    <row r="51" ht="15.75" customHeight="1" spans="1:16" x14ac:dyDescent="0.25">
      <c r="A51" s="12">
        <f>_xlfn.AGGREGATE(3,3,$B$9:B51)</f>
        <v>25</v>
      </c>
      <c r="B51" s="12">
        <v>227080017</v>
      </c>
      <c r="C51" s="12" t="s">
        <v>63</v>
      </c>
      <c r="D51" s="12" t="s">
        <v>64</v>
      </c>
      <c r="E51" s="13"/>
      <c r="F51" s="13"/>
      <c r="G51" s="14"/>
      <c r="H51" s="22" t="s">
        <v>41</v>
      </c>
    </row>
    <row r="52" ht="15.75" customHeight="1" spans="1:16" x14ac:dyDescent="0.25">
      <c r="A52" s="12">
        <f>_xlfn.AGGREGATE(3,3,$B$9:B52)</f>
        <v>26</v>
      </c>
      <c r="B52" s="12">
        <v>227080019</v>
      </c>
      <c r="C52" s="12" t="s">
        <v>65</v>
      </c>
      <c r="D52" s="12" t="s">
        <v>66</v>
      </c>
      <c r="E52" s="13"/>
      <c r="F52" s="13"/>
      <c r="G52" s="14"/>
      <c r="H52" s="22" t="s">
        <v>41</v>
      </c>
    </row>
    <row r="53" ht="15.75" customHeight="1" spans="1:16" x14ac:dyDescent="0.25">
      <c r="A53" s="12">
        <f>_xlfn.AGGREGATE(3,3,$B$9:B53)</f>
        <v>27</v>
      </c>
      <c r="B53" s="12">
        <v>227080020</v>
      </c>
      <c r="C53" s="12" t="s">
        <v>67</v>
      </c>
      <c r="D53" s="12" t="s">
        <v>68</v>
      </c>
      <c r="E53" s="13"/>
      <c r="F53" s="13"/>
      <c r="G53" s="14"/>
      <c r="H53" s="22" t="s">
        <v>41</v>
      </c>
    </row>
    <row r="54" ht="15.75" customHeight="1" spans="1:16" x14ac:dyDescent="0.25">
      <c r="A54" s="12">
        <f>_xlfn.AGGREGATE(3,3,$B$9:B54)</f>
        <v>28</v>
      </c>
      <c r="B54" s="12">
        <v>227080021</v>
      </c>
      <c r="C54" s="12" t="s">
        <v>69</v>
      </c>
      <c r="D54" s="12" t="s">
        <v>70</v>
      </c>
      <c r="E54" s="13"/>
      <c r="F54" s="13"/>
      <c r="G54" s="14"/>
      <c r="H54" s="22" t="s">
        <v>41</v>
      </c>
    </row>
    <row r="55" ht="15.75" customHeight="1" spans="1:16" x14ac:dyDescent="0.25">
      <c r="A55" s="12">
        <f>_xlfn.AGGREGATE(3,3,$B$9:B55)</f>
        <v>29</v>
      </c>
      <c r="B55" s="12">
        <v>227080022</v>
      </c>
      <c r="C55" s="12" t="s">
        <v>71</v>
      </c>
      <c r="D55" s="12" t="s">
        <v>72</v>
      </c>
      <c r="E55" s="13"/>
      <c r="F55" s="13"/>
      <c r="G55" s="14"/>
      <c r="H55" s="22" t="s">
        <v>41</v>
      </c>
    </row>
    <row r="56" ht="15.75" customHeight="1" spans="1:16" x14ac:dyDescent="0.25">
      <c r="A56" s="12">
        <f>_xlfn.AGGREGATE(3,3,$B$9:B56)</f>
        <v>30</v>
      </c>
      <c r="B56" s="12">
        <v>227080023</v>
      </c>
      <c r="C56" s="12" t="s">
        <v>73</v>
      </c>
      <c r="D56" s="12" t="s">
        <v>72</v>
      </c>
      <c r="E56" s="13"/>
      <c r="F56" s="13"/>
      <c r="G56" s="14"/>
      <c r="H56" s="22" t="s">
        <v>41</v>
      </c>
    </row>
    <row r="57" ht="15.75" customHeight="1" spans="1:16" x14ac:dyDescent="0.25">
      <c r="A57" s="12">
        <f>_xlfn.AGGREGATE(3,3,$B$9:B57)</f>
        <v>31</v>
      </c>
      <c r="B57" s="12">
        <v>227080024</v>
      </c>
      <c r="C57" s="12" t="s">
        <v>74</v>
      </c>
      <c r="D57" s="12" t="s">
        <v>60</v>
      </c>
      <c r="E57" s="13"/>
      <c r="F57" s="13"/>
      <c r="G57" s="14"/>
      <c r="H57" s="22" t="s">
        <v>41</v>
      </c>
    </row>
    <row r="58" ht="15.75" customHeight="1" spans="1:16" x14ac:dyDescent="0.25">
      <c r="A58" s="12">
        <f>_xlfn.AGGREGATE(3,3,$B$9:B58)</f>
        <v>32</v>
      </c>
      <c r="B58" s="12">
        <v>227080025</v>
      </c>
      <c r="C58" s="12" t="s">
        <v>75</v>
      </c>
      <c r="D58" s="12" t="s">
        <v>76</v>
      </c>
      <c r="E58" s="13"/>
      <c r="F58" s="13"/>
      <c r="G58" s="14"/>
      <c r="H58" s="22" t="s">
        <v>41</v>
      </c>
    </row>
    <row r="59" ht="15.75" customHeight="1" spans="1:16" x14ac:dyDescent="0.25">
      <c r="A59" s="12">
        <f>_xlfn.AGGREGATE(3,3,$B$9:B59)</f>
        <v>33</v>
      </c>
      <c r="B59" s="12">
        <v>227080026</v>
      </c>
      <c r="C59" s="12" t="s">
        <v>44</v>
      </c>
      <c r="D59" s="12" t="s">
        <v>72</v>
      </c>
      <c r="E59" s="13"/>
      <c r="F59" s="13"/>
      <c r="G59" s="14"/>
      <c r="H59" s="22" t="s">
        <v>41</v>
      </c>
    </row>
    <row r="60" ht="15.75" customHeight="1" spans="1:16" x14ac:dyDescent="0.25">
      <c r="A60" s="12">
        <f>_xlfn.AGGREGATE(3,3,$B$9:B60)</f>
        <v>34</v>
      </c>
      <c r="B60" s="12">
        <v>227080029</v>
      </c>
      <c r="C60" s="12" t="s">
        <v>77</v>
      </c>
      <c r="D60" s="12" t="s">
        <v>70</v>
      </c>
      <c r="E60" s="13"/>
      <c r="F60" s="13"/>
      <c r="G60" s="14"/>
      <c r="H60" s="22" t="s">
        <v>41</v>
      </c>
    </row>
    <row r="61" ht="15.75" customHeight="1" spans="1:16" x14ac:dyDescent="0.25">
      <c r="A61" s="12">
        <f>_xlfn.AGGREGATE(3,3,$B$9:B61)</f>
        <v>35</v>
      </c>
      <c r="B61" s="12">
        <v>227080031</v>
      </c>
      <c r="C61" s="12" t="s">
        <v>78</v>
      </c>
      <c r="D61" s="12" t="s">
        <v>48</v>
      </c>
      <c r="E61" s="13"/>
      <c r="F61" s="13"/>
      <c r="G61" s="14"/>
      <c r="H61" s="22" t="s">
        <v>41</v>
      </c>
    </row>
    <row r="62" ht="15.75" customHeight="1" spans="1:16" x14ac:dyDescent="0.25">
      <c r="A62" s="12">
        <f>_xlfn.AGGREGATE(3,3,$B$9:B62)</f>
        <v>36</v>
      </c>
      <c r="B62" s="12">
        <v>227080032</v>
      </c>
      <c r="C62" s="12" t="s">
        <v>79</v>
      </c>
      <c r="D62" s="12" t="s">
        <v>80</v>
      </c>
      <c r="E62" s="13"/>
      <c r="F62" s="13"/>
      <c r="G62" s="14"/>
      <c r="H62" s="22" t="s">
        <v>41</v>
      </c>
    </row>
    <row r="63" ht="15.75" customHeight="1" spans="1:16" x14ac:dyDescent="0.25">
      <c r="A63" s="12">
        <f>_xlfn.AGGREGATE(3,3,$B$9:B63)</f>
        <v>37</v>
      </c>
      <c r="B63" s="12">
        <v>227080033</v>
      </c>
      <c r="C63" s="12" t="s">
        <v>81</v>
      </c>
      <c r="D63" s="12" t="s">
        <v>43</v>
      </c>
      <c r="E63" s="13"/>
      <c r="F63" s="13"/>
      <c r="G63" s="14"/>
      <c r="H63" s="22" t="s">
        <v>41</v>
      </c>
    </row>
    <row r="64" ht="15.75" customHeight="1" spans="1:16" x14ac:dyDescent="0.25">
      <c r="A64" s="12">
        <f>_xlfn.AGGREGATE(3,3,$B$9:B64)</f>
        <v>38</v>
      </c>
      <c r="B64" s="12">
        <v>227080034</v>
      </c>
      <c r="C64" s="12" t="s">
        <v>51</v>
      </c>
      <c r="D64" s="12" t="s">
        <v>82</v>
      </c>
      <c r="E64" s="13"/>
      <c r="F64" s="13"/>
      <c r="G64" s="14"/>
      <c r="H64" s="22" t="s">
        <v>41</v>
      </c>
    </row>
    <row r="65" ht="15.75" customHeight="1" spans="1:16" x14ac:dyDescent="0.25">
      <c r="A65" s="12">
        <f>_xlfn.AGGREGATE(3,3,$B$9:B65)</f>
        <v>39</v>
      </c>
      <c r="B65" s="12">
        <v>227080035</v>
      </c>
      <c r="C65" s="12" t="s">
        <v>83</v>
      </c>
      <c r="D65" s="12" t="s">
        <v>84</v>
      </c>
      <c r="E65" s="13"/>
      <c r="F65" s="13"/>
      <c r="G65" s="14"/>
      <c r="H65" s="22" t="s">
        <v>41</v>
      </c>
    </row>
    <row r="66" ht="15.75" customHeight="1" spans="1:16" x14ac:dyDescent="0.25">
      <c r="A66" s="12">
        <f>_xlfn.AGGREGATE(3,3,$B$9:B66)</f>
        <v>40</v>
      </c>
      <c r="B66" s="12">
        <v>227080036</v>
      </c>
      <c r="C66" s="12" t="s">
        <v>85</v>
      </c>
      <c r="D66" s="12" t="s">
        <v>86</v>
      </c>
      <c r="E66" s="13"/>
      <c r="F66" s="13"/>
      <c r="G66" s="14"/>
      <c r="H66" s="22" t="s">
        <v>41</v>
      </c>
    </row>
    <row r="67" ht="15.75" customHeight="1" spans="1:16" x14ac:dyDescent="0.25">
      <c r="A67" s="12">
        <f>_xlfn.AGGREGATE(3,3,$B$9:B67)</f>
        <v>41</v>
      </c>
      <c r="B67" s="12">
        <v>227080037</v>
      </c>
      <c r="C67" s="12" t="s">
        <v>87</v>
      </c>
      <c r="D67" s="12" t="s">
        <v>88</v>
      </c>
      <c r="E67" s="13"/>
      <c r="F67" s="13"/>
      <c r="G67" s="14"/>
      <c r="H67" s="22" t="s">
        <v>41</v>
      </c>
    </row>
    <row r="68" ht="15.75" customHeight="1" spans="1:16" x14ac:dyDescent="0.25">
      <c r="A68" s="12">
        <f>_xlfn.AGGREGATE(3,3,$B$9:B68)</f>
        <v>42</v>
      </c>
      <c r="B68" s="12">
        <v>227080038</v>
      </c>
      <c r="C68" s="12" t="s">
        <v>44</v>
      </c>
      <c r="D68" s="12" t="s">
        <v>34</v>
      </c>
      <c r="E68" s="13"/>
      <c r="F68" s="13"/>
      <c r="G68" s="14">
        <f>$G$38</f>
        <v>0</v>
      </c>
      <c r="H68" s="22" t="s">
        <v>41</v>
      </c>
    </row>
    <row r="69" ht="15.75" customHeight="1" spans="1:16" x14ac:dyDescent="0.25">
      <c r="A69" s="12">
        <f>_xlfn.AGGREGATE(3,3,$B$9:B69)</f>
        <v>43</v>
      </c>
      <c r="B69" s="12">
        <v>227080039</v>
      </c>
      <c r="C69" s="12" t="s">
        <v>89</v>
      </c>
      <c r="D69" s="12" t="s">
        <v>90</v>
      </c>
      <c r="E69" s="13"/>
      <c r="F69" s="13"/>
      <c r="G69" s="14"/>
      <c r="H69" s="22" t="s">
        <v>41</v>
      </c>
    </row>
    <row r="70" ht="15.75" customHeight="1" spans="1:16" x14ac:dyDescent="0.25">
      <c r="A70" s="12">
        <f>_xlfn.AGGREGATE(3,3,$B$9:B70)</f>
        <v>44</v>
      </c>
      <c r="B70" s="12">
        <v>227080041</v>
      </c>
      <c r="C70" s="12" t="s">
        <v>91</v>
      </c>
      <c r="D70" s="12" t="s">
        <v>34</v>
      </c>
      <c r="E70" s="13"/>
      <c r="F70" s="13"/>
      <c r="G70" s="14">
        <f>$G$38</f>
        <v>0</v>
      </c>
      <c r="H70" s="22" t="s">
        <v>41</v>
      </c>
    </row>
    <row r="71" ht="15.75" customHeight="1" spans="1:16" x14ac:dyDescent="0.25">
      <c r="A71" s="12">
        <f>_xlfn.AGGREGATE(3,3,$B$9:B71)</f>
        <v>45</v>
      </c>
      <c r="B71" s="12">
        <v>227080042</v>
      </c>
      <c r="C71" s="12" t="s">
        <v>85</v>
      </c>
      <c r="D71" s="12" t="s">
        <v>92</v>
      </c>
      <c r="E71" s="13"/>
      <c r="F71" s="13"/>
      <c r="G71" s="14"/>
      <c r="H71" s="22" t="s">
        <v>41</v>
      </c>
    </row>
    <row r="72" ht="15.75" customHeight="1" spans="1:16" x14ac:dyDescent="0.25">
      <c r="A72" s="12">
        <f>_xlfn.AGGREGATE(3,3,$B$9:B72)</f>
        <v>46</v>
      </c>
      <c r="B72" s="12">
        <v>227080043</v>
      </c>
      <c r="C72" s="12" t="s">
        <v>39</v>
      </c>
      <c r="D72" s="12" t="s">
        <v>34</v>
      </c>
      <c r="E72" s="13"/>
      <c r="F72" s="13"/>
      <c r="G72" s="14"/>
      <c r="H72" s="22" t="s">
        <v>41</v>
      </c>
    </row>
    <row r="73" ht="15.75" customHeight="1" spans="1:16" x14ac:dyDescent="0.25">
      <c r="A73" s="12">
        <f>_xlfn.AGGREGATE(3,3,$B$9:B73)</f>
        <v>47</v>
      </c>
      <c r="B73" s="12">
        <v>227080044</v>
      </c>
      <c r="C73" s="12" t="s">
        <v>27</v>
      </c>
      <c r="D73" s="12" t="s">
        <v>93</v>
      </c>
      <c r="E73" s="13"/>
      <c r="F73" s="13"/>
      <c r="G73" s="14"/>
      <c r="H73" s="22" t="s">
        <v>41</v>
      </c>
    </row>
    <row r="74" ht="15.75" customHeight="1" spans="1:16" x14ac:dyDescent="0.25">
      <c r="A74" s="12">
        <f>_xlfn.AGGREGATE(3,3,$B$9:B74)</f>
        <v>48</v>
      </c>
      <c r="B74" s="12">
        <v>227080046</v>
      </c>
      <c r="C74" s="12" t="s">
        <v>94</v>
      </c>
      <c r="D74" s="12" t="s">
        <v>72</v>
      </c>
      <c r="E74" s="13"/>
      <c r="F74" s="13"/>
      <c r="G74" s="14"/>
      <c r="H74" s="22" t="s">
        <v>41</v>
      </c>
    </row>
    <row r="75" ht="15.75" customHeight="1" spans="1:16" x14ac:dyDescent="0.25">
      <c r="A75" s="12">
        <f>_xlfn.AGGREGATE(3,3,$B$9:B75)</f>
        <v>49</v>
      </c>
      <c r="B75" s="12">
        <v>227080047</v>
      </c>
      <c r="C75" s="12" t="s">
        <v>95</v>
      </c>
      <c r="D75" s="12" t="s">
        <v>15</v>
      </c>
      <c r="E75" s="13"/>
      <c r="F75" s="13"/>
      <c r="G75" s="14"/>
      <c r="H75" s="22" t="s">
        <v>41</v>
      </c>
    </row>
    <row r="76" ht="15.75" customHeight="1" spans="1:16" x14ac:dyDescent="0.25">
      <c r="A76" s="12">
        <f>_xlfn.AGGREGATE(3,3,$B$9:B76)</f>
        <v>50</v>
      </c>
      <c r="B76" s="12">
        <v>227080048</v>
      </c>
      <c r="C76" s="12" t="s">
        <v>96</v>
      </c>
      <c r="D76" s="12" t="s">
        <v>97</v>
      </c>
      <c r="E76" s="13"/>
      <c r="F76" s="13"/>
      <c r="G76" s="14"/>
      <c r="H76" s="22" t="s">
        <v>41</v>
      </c>
    </row>
    <row r="77" ht="15.75" customHeight="1" spans="1:16" x14ac:dyDescent="0.25">
      <c r="A77" s="12">
        <f>_xlfn.AGGREGATE(3,3,$B$9:B77)</f>
        <v>51</v>
      </c>
      <c r="B77" s="12">
        <v>227080049</v>
      </c>
      <c r="C77" s="12" t="s">
        <v>98</v>
      </c>
      <c r="D77" s="12" t="s">
        <v>88</v>
      </c>
      <c r="E77" s="13"/>
      <c r="F77" s="13"/>
      <c r="G77" s="14"/>
      <c r="H77" s="22" t="s">
        <v>41</v>
      </c>
    </row>
    <row r="78" ht="15.75" customHeight="1" spans="1:16" x14ac:dyDescent="0.25">
      <c r="A78" s="12">
        <f>_xlfn.AGGREGATE(3,3,$B$9:B78)</f>
        <v>52</v>
      </c>
      <c r="B78" s="12">
        <v>227080050</v>
      </c>
      <c r="C78" s="12" t="s">
        <v>99</v>
      </c>
      <c r="D78" s="12" t="s">
        <v>100</v>
      </c>
      <c r="E78" s="13"/>
      <c r="F78" s="13"/>
      <c r="G78" s="14"/>
      <c r="H78" s="22" t="s">
        <v>41</v>
      </c>
    </row>
    <row r="79" ht="15.75" customHeight="1" spans="1:16" x14ac:dyDescent="0.25">
      <c r="A79" s="12">
        <f>_xlfn.AGGREGATE(3,3,$B$9:B79)</f>
        <v>53</v>
      </c>
      <c r="B79" s="12">
        <v>227080051</v>
      </c>
      <c r="C79" s="12" t="s">
        <v>101</v>
      </c>
      <c r="D79" s="12" t="s">
        <v>102</v>
      </c>
      <c r="E79" s="13"/>
      <c r="F79" s="13"/>
      <c r="G79" s="14">
        <f>$G$38</f>
        <v>0</v>
      </c>
      <c r="H79" s="22" t="s">
        <v>41</v>
      </c>
    </row>
    <row r="80" ht="15.75" customHeight="1" spans="1:16" x14ac:dyDescent="0.25">
      <c r="A80" s="12">
        <f>_xlfn.AGGREGATE(3,3,$B$9:B80)</f>
        <v>54</v>
      </c>
      <c r="B80" s="12">
        <v>227080052</v>
      </c>
      <c r="C80" s="12" t="s">
        <v>103</v>
      </c>
      <c r="D80" s="12" t="s">
        <v>22</v>
      </c>
      <c r="E80" s="13"/>
      <c r="F80" s="13"/>
      <c r="G80" s="14"/>
      <c r="H80" s="22" t="s">
        <v>41</v>
      </c>
    </row>
    <row r="81" ht="15.75" customHeight="1" spans="1:16" x14ac:dyDescent="0.25">
      <c r="A81" s="12">
        <f>_xlfn.AGGREGATE(3,3,$B$9:B81)</f>
        <v>55</v>
      </c>
      <c r="B81" s="12">
        <v>237080001</v>
      </c>
      <c r="C81" s="12" t="s">
        <v>23</v>
      </c>
      <c r="D81" s="12" t="s">
        <v>104</v>
      </c>
      <c r="E81" s="13"/>
      <c r="F81" s="13"/>
      <c r="G81" s="14"/>
      <c r="H81" s="22" t="s">
        <v>105</v>
      </c>
    </row>
    <row r="82" ht="15.75" customHeight="1" spans="1:16" x14ac:dyDescent="0.25">
      <c r="A82" s="12">
        <f>_xlfn.AGGREGATE(3,3,$B$9:B82)</f>
        <v>56</v>
      </c>
      <c r="B82" s="12">
        <v>237080002</v>
      </c>
      <c r="C82" s="12" t="s">
        <v>106</v>
      </c>
      <c r="D82" s="12" t="s">
        <v>107</v>
      </c>
      <c r="E82" s="13"/>
      <c r="F82" s="13"/>
      <c r="G82" s="14"/>
      <c r="H82" s="22" t="s">
        <v>105</v>
      </c>
    </row>
    <row r="83" ht="15.75" customHeight="1" spans="1:16" x14ac:dyDescent="0.25">
      <c r="A83" s="12">
        <f>_xlfn.AGGREGATE(3,3,$B$9:B83)</f>
        <v>57</v>
      </c>
      <c r="B83" s="12">
        <v>237080003</v>
      </c>
      <c r="C83" s="12" t="s">
        <v>108</v>
      </c>
      <c r="D83" s="12" t="s">
        <v>109</v>
      </c>
      <c r="E83" s="13"/>
      <c r="F83" s="13"/>
      <c r="G83" s="14"/>
      <c r="H83" s="22" t="s">
        <v>105</v>
      </c>
    </row>
    <row r="84" ht="15.75" customHeight="1" spans="1:16" x14ac:dyDescent="0.25">
      <c r="A84" s="12">
        <f>_xlfn.AGGREGATE(3,3,$B$9:B84)</f>
        <v>58</v>
      </c>
      <c r="B84" s="12">
        <v>237080005</v>
      </c>
      <c r="C84" s="12" t="s">
        <v>110</v>
      </c>
      <c r="D84" s="12" t="s">
        <v>111</v>
      </c>
      <c r="E84" s="13"/>
      <c r="F84" s="13"/>
      <c r="G84" s="14"/>
      <c r="H84" s="22" t="s">
        <v>105</v>
      </c>
    </row>
    <row r="85" ht="15.75" customHeight="1" spans="1:16" x14ac:dyDescent="0.25">
      <c r="A85" s="12">
        <f>_xlfn.AGGREGATE(3,3,$B$9:B85)</f>
        <v>59</v>
      </c>
      <c r="B85" s="12">
        <v>237080006</v>
      </c>
      <c r="C85" s="12" t="s">
        <v>112</v>
      </c>
      <c r="D85" s="12" t="s">
        <v>113</v>
      </c>
      <c r="E85" s="13"/>
      <c r="F85" s="13"/>
      <c r="G85" s="14"/>
      <c r="H85" s="22" t="s">
        <v>105</v>
      </c>
    </row>
    <row r="86" ht="15.75" customHeight="1" spans="1:16" x14ac:dyDescent="0.25">
      <c r="A86" s="12">
        <f>_xlfn.AGGREGATE(3,3,$B$9:B86)</f>
        <v>60</v>
      </c>
      <c r="B86" s="12">
        <v>237080008</v>
      </c>
      <c r="C86" s="12" t="s">
        <v>114</v>
      </c>
      <c r="D86" s="12" t="s">
        <v>64</v>
      </c>
      <c r="E86" s="13"/>
      <c r="F86" s="13"/>
      <c r="G86" s="14"/>
      <c r="H86" s="22" t="s">
        <v>105</v>
      </c>
    </row>
    <row r="87" ht="15.75" customHeight="1" spans="1:16" x14ac:dyDescent="0.25">
      <c r="A87" s="12">
        <f>_xlfn.AGGREGATE(3,3,$B$9:B87)</f>
        <v>61</v>
      </c>
      <c r="B87" s="12">
        <v>237080009</v>
      </c>
      <c r="C87" s="12" t="s">
        <v>115</v>
      </c>
      <c r="D87" s="12" t="s">
        <v>64</v>
      </c>
      <c r="E87" s="13"/>
      <c r="F87" s="13"/>
      <c r="G87" s="14"/>
      <c r="H87" s="22" t="s">
        <v>105</v>
      </c>
    </row>
    <row r="88" ht="15.75" customHeight="1" spans="1:16" x14ac:dyDescent="0.25">
      <c r="A88" s="12">
        <f>_xlfn.AGGREGATE(3,3,$B$9:B88)</f>
        <v>62</v>
      </c>
      <c r="B88" s="12">
        <v>237080011</v>
      </c>
      <c r="C88" s="12" t="s">
        <v>39</v>
      </c>
      <c r="D88" s="12" t="s">
        <v>116</v>
      </c>
      <c r="E88" s="13"/>
      <c r="F88" s="13"/>
      <c r="G88" s="14"/>
      <c r="H88" s="22" t="s">
        <v>105</v>
      </c>
    </row>
    <row r="89" ht="15.75" customHeight="1" spans="1:16" x14ac:dyDescent="0.25">
      <c r="A89" s="12">
        <f>_xlfn.AGGREGATE(3,3,$B$9:B89)</f>
        <v>63</v>
      </c>
      <c r="B89" s="12">
        <v>237080012</v>
      </c>
      <c r="C89" s="12" t="s">
        <v>117</v>
      </c>
      <c r="D89" s="12" t="s">
        <v>40</v>
      </c>
      <c r="E89" s="13"/>
      <c r="F89" s="13"/>
      <c r="G89" s="14"/>
      <c r="H89" s="22" t="s">
        <v>105</v>
      </c>
    </row>
    <row r="90" ht="15.75" customHeight="1" spans="1:16" x14ac:dyDescent="0.25">
      <c r="A90" s="12">
        <f>_xlfn.AGGREGATE(3,3,$B$9:B90)</f>
        <v>64</v>
      </c>
      <c r="B90" s="12">
        <v>237080013</v>
      </c>
      <c r="C90" s="12" t="s">
        <v>85</v>
      </c>
      <c r="D90" s="12" t="s">
        <v>118</v>
      </c>
      <c r="E90" s="13"/>
      <c r="F90" s="13"/>
      <c r="G90" s="14"/>
      <c r="H90" s="22" t="s">
        <v>105</v>
      </c>
    </row>
    <row r="91" ht="15.75" customHeight="1" spans="1:16" x14ac:dyDescent="0.25">
      <c r="A91" s="12">
        <f>_xlfn.AGGREGATE(3,3,$B$9:B91)</f>
        <v>65</v>
      </c>
      <c r="B91" s="12">
        <v>237080014</v>
      </c>
      <c r="C91" s="12" t="s">
        <v>119</v>
      </c>
      <c r="D91" s="12" t="s">
        <v>109</v>
      </c>
      <c r="E91" s="13"/>
      <c r="F91" s="13"/>
      <c r="G91" s="14"/>
      <c r="H91" s="22" t="s">
        <v>105</v>
      </c>
    </row>
    <row r="92" ht="15.75" customHeight="1" spans="1:16" x14ac:dyDescent="0.25">
      <c r="A92" s="12">
        <f>_xlfn.AGGREGATE(3,3,$B$9:B92)</f>
        <v>66</v>
      </c>
      <c r="B92" s="12">
        <v>237080015</v>
      </c>
      <c r="C92" s="12" t="s">
        <v>49</v>
      </c>
      <c r="D92" s="12" t="s">
        <v>120</v>
      </c>
      <c r="E92" s="13"/>
      <c r="F92" s="13"/>
      <c r="G92" s="14"/>
      <c r="H92" s="22" t="s">
        <v>105</v>
      </c>
    </row>
    <row r="93" ht="15.75" customHeight="1" spans="1:16" x14ac:dyDescent="0.25">
      <c r="A93" s="12">
        <f>_xlfn.AGGREGATE(3,3,$B$9:B93)</f>
        <v>67</v>
      </c>
      <c r="B93" s="12">
        <v>237080016</v>
      </c>
      <c r="C93" s="12" t="s">
        <v>121</v>
      </c>
      <c r="D93" s="12" t="s">
        <v>122</v>
      </c>
      <c r="E93" s="13"/>
      <c r="F93" s="13"/>
      <c r="G93" s="14"/>
      <c r="H93" s="22" t="s">
        <v>105</v>
      </c>
    </row>
    <row r="94" ht="15.75" customHeight="1" spans="1:16" x14ac:dyDescent="0.25">
      <c r="A94" s="12">
        <f>_xlfn.AGGREGATE(3,3,$B$9:B94)</f>
        <v>68</v>
      </c>
      <c r="B94" s="12">
        <v>237080017</v>
      </c>
      <c r="C94" s="12" t="s">
        <v>123</v>
      </c>
      <c r="D94" s="12" t="s">
        <v>84</v>
      </c>
      <c r="E94" s="13"/>
      <c r="F94" s="13"/>
      <c r="G94" s="14"/>
      <c r="H94" s="22" t="s">
        <v>105</v>
      </c>
    </row>
    <row r="95" ht="15.75" customHeight="1" spans="1:16" x14ac:dyDescent="0.25">
      <c r="A95" s="12">
        <f>_xlfn.AGGREGATE(3,3,$B$9:B95)</f>
        <v>69</v>
      </c>
      <c r="B95" s="12">
        <v>237080018</v>
      </c>
      <c r="C95" s="12" t="s">
        <v>124</v>
      </c>
      <c r="D95" s="12" t="s">
        <v>86</v>
      </c>
      <c r="E95" s="13"/>
      <c r="F95" s="13"/>
      <c r="G95" s="14"/>
      <c r="H95" s="22" t="s">
        <v>105</v>
      </c>
    </row>
    <row r="96" ht="15.75" customHeight="1" spans="1:16" x14ac:dyDescent="0.25">
      <c r="A96" s="12">
        <f>_xlfn.AGGREGATE(3,3,$B$9:B96)</f>
        <v>70</v>
      </c>
      <c r="B96" s="12">
        <v>237080019</v>
      </c>
      <c r="C96" s="12" t="s">
        <v>125</v>
      </c>
      <c r="D96" s="12" t="s">
        <v>126</v>
      </c>
      <c r="E96" s="13"/>
      <c r="F96" s="13"/>
      <c r="G96" s="14"/>
      <c r="H96" s="22" t="s">
        <v>105</v>
      </c>
    </row>
    <row r="97" ht="15.75" customHeight="1" spans="1:16" x14ac:dyDescent="0.25">
      <c r="A97" s="12">
        <f>_xlfn.AGGREGATE(3,3,$B$9:B97)</f>
        <v>71</v>
      </c>
      <c r="B97" s="12">
        <v>237080020</v>
      </c>
      <c r="C97" s="12" t="s">
        <v>127</v>
      </c>
      <c r="D97" s="12" t="s">
        <v>50</v>
      </c>
      <c r="E97" s="13"/>
      <c r="F97" s="13"/>
      <c r="G97" s="14"/>
      <c r="H97" s="22" t="s">
        <v>105</v>
      </c>
    </row>
    <row r="98" ht="15.75" customHeight="1" spans="1:16" x14ac:dyDescent="0.25">
      <c r="A98" s="12">
        <f>_xlfn.AGGREGATE(3,3,$B$9:B98)</f>
        <v>72</v>
      </c>
      <c r="B98" s="12">
        <v>237080021</v>
      </c>
      <c r="C98" s="12" t="s">
        <v>128</v>
      </c>
      <c r="D98" s="12" t="s">
        <v>129</v>
      </c>
      <c r="E98" s="13"/>
      <c r="F98" s="13"/>
      <c r="G98" s="14"/>
      <c r="H98" s="22" t="s">
        <v>105</v>
      </c>
    </row>
    <row r="99" ht="15.75" customHeight="1" spans="1:16" x14ac:dyDescent="0.25">
      <c r="A99" s="12">
        <f>_xlfn.AGGREGATE(3,3,$B$9:B99)</f>
        <v>73</v>
      </c>
      <c r="B99" s="12">
        <v>237080022</v>
      </c>
      <c r="C99" s="12" t="s">
        <v>130</v>
      </c>
      <c r="D99" s="12" t="s">
        <v>126</v>
      </c>
      <c r="E99" s="13"/>
      <c r="F99" s="13"/>
      <c r="G99" s="14"/>
      <c r="H99" s="22" t="s">
        <v>105</v>
      </c>
    </row>
    <row r="100" ht="15.75" customHeight="1" spans="1:16" x14ac:dyDescent="0.25">
      <c r="A100" s="12">
        <f>_xlfn.AGGREGATE(3,3,$B$9:B100)</f>
        <v>74</v>
      </c>
      <c r="B100" s="12">
        <v>237080023</v>
      </c>
      <c r="C100" s="12" t="s">
        <v>131</v>
      </c>
      <c r="D100" s="12" t="s">
        <v>132</v>
      </c>
      <c r="E100" s="13"/>
      <c r="F100" s="13"/>
      <c r="G100" s="14"/>
      <c r="H100" s="22" t="s">
        <v>105</v>
      </c>
    </row>
    <row r="101" ht="15.75" customHeight="1" spans="1:16" x14ac:dyDescent="0.25">
      <c r="A101" s="12">
        <f>_xlfn.AGGREGATE(3,3,$B$9:B101)</f>
        <v>75</v>
      </c>
      <c r="B101" s="12">
        <v>237080024</v>
      </c>
      <c r="C101" s="12" t="s">
        <v>133</v>
      </c>
      <c r="D101" s="12" t="s">
        <v>134</v>
      </c>
      <c r="E101" s="13"/>
      <c r="F101" s="13"/>
      <c r="G101" s="14"/>
      <c r="H101" s="22" t="s">
        <v>105</v>
      </c>
    </row>
    <row r="102" ht="15.75" customHeight="1" spans="1:16" x14ac:dyDescent="0.25">
      <c r="A102" s="12">
        <f>_xlfn.AGGREGATE(3,3,$B$9:B102)</f>
        <v>76</v>
      </c>
      <c r="B102" s="12">
        <v>237080026</v>
      </c>
      <c r="C102" s="12" t="s">
        <v>44</v>
      </c>
      <c r="D102" s="12" t="s">
        <v>34</v>
      </c>
      <c r="E102" s="13"/>
      <c r="F102" s="13"/>
      <c r="G102" s="14"/>
      <c r="H102" s="22" t="s">
        <v>105</v>
      </c>
    </row>
    <row r="103" ht="15.75" customHeight="1" spans="1:16" x14ac:dyDescent="0.25">
      <c r="A103" s="12">
        <f>_xlfn.AGGREGATE(3,3,$B$9:B103)</f>
        <v>77</v>
      </c>
      <c r="B103" s="12">
        <v>237080027</v>
      </c>
      <c r="C103" s="12" t="s">
        <v>135</v>
      </c>
      <c r="D103" s="12" t="s">
        <v>136</v>
      </c>
      <c r="E103" s="13"/>
      <c r="F103" s="13"/>
      <c r="G103" s="14"/>
      <c r="H103" s="22" t="s">
        <v>105</v>
      </c>
    </row>
    <row r="104" ht="15.75" customHeight="1" spans="1:16" x14ac:dyDescent="0.25">
      <c r="A104" s="12">
        <f>_xlfn.AGGREGATE(3,3,$B$9:B104)</f>
        <v>78</v>
      </c>
      <c r="B104" s="12">
        <v>237080028</v>
      </c>
      <c r="C104" s="12" t="s">
        <v>128</v>
      </c>
      <c r="D104" s="12" t="s">
        <v>32</v>
      </c>
      <c r="E104" s="13"/>
      <c r="F104" s="13"/>
      <c r="G104" s="14"/>
      <c r="H104" s="22" t="s">
        <v>105</v>
      </c>
    </row>
    <row r="105" ht="15.75" customHeight="1" spans="1:16" x14ac:dyDescent="0.25">
      <c r="A105" s="12">
        <f>_xlfn.AGGREGATE(3,3,$B$9:B105)</f>
        <v>79</v>
      </c>
      <c r="B105" s="12">
        <v>237080029</v>
      </c>
      <c r="C105" s="12" t="s">
        <v>137</v>
      </c>
      <c r="D105" s="12" t="s">
        <v>52</v>
      </c>
      <c r="E105" s="13"/>
      <c r="F105" s="13"/>
      <c r="G105" s="14"/>
      <c r="H105" s="22" t="s">
        <v>105</v>
      </c>
    </row>
    <row r="106" ht="15.75" customHeight="1" spans="1:16" x14ac:dyDescent="0.25">
      <c r="A106" s="12">
        <f>_xlfn.AGGREGATE(3,3,$B$9:B106)</f>
        <v>80</v>
      </c>
      <c r="B106" s="12">
        <v>237080030</v>
      </c>
      <c r="C106" s="12" t="s">
        <v>138</v>
      </c>
      <c r="D106" s="12" t="s">
        <v>72</v>
      </c>
      <c r="E106" s="13"/>
      <c r="F106" s="13"/>
      <c r="G106" s="14"/>
      <c r="H106" s="22" t="s">
        <v>105</v>
      </c>
    </row>
    <row r="107" ht="15.75" customHeight="1" spans="1:16" x14ac:dyDescent="0.25">
      <c r="A107" s="12">
        <f>_xlfn.AGGREGATE(3,3,$B$9:B107)</f>
        <v>81</v>
      </c>
      <c r="B107" s="12">
        <v>237080031</v>
      </c>
      <c r="C107" s="12" t="s">
        <v>139</v>
      </c>
      <c r="D107" s="12" t="s">
        <v>116</v>
      </c>
      <c r="E107" s="13"/>
      <c r="F107" s="13"/>
      <c r="G107" s="14"/>
      <c r="H107" s="22" t="s">
        <v>105</v>
      </c>
    </row>
    <row r="108" ht="15.75" customHeight="1" spans="1:16" x14ac:dyDescent="0.25">
      <c r="A108" s="12">
        <f>_xlfn.AGGREGATE(3,3,$B$9:B108)</f>
        <v>82</v>
      </c>
      <c r="B108" s="12">
        <v>237080032</v>
      </c>
      <c r="C108" s="12" t="s">
        <v>140</v>
      </c>
      <c r="D108" s="12" t="s">
        <v>86</v>
      </c>
      <c r="E108" s="13"/>
      <c r="F108" s="13"/>
      <c r="G108" s="14"/>
      <c r="H108" s="22" t="s">
        <v>105</v>
      </c>
    </row>
    <row r="109" ht="15.75" customHeight="1" spans="1:16" x14ac:dyDescent="0.25">
      <c r="A109" s="12">
        <f>_xlfn.AGGREGATE(3,3,$B$9:B109)</f>
        <v>83</v>
      </c>
      <c r="B109" s="12">
        <v>237080034</v>
      </c>
      <c r="C109" s="12" t="s">
        <v>141</v>
      </c>
      <c r="D109" s="12" t="s">
        <v>66</v>
      </c>
      <c r="E109" s="13"/>
      <c r="F109" s="13"/>
      <c r="G109" s="14"/>
      <c r="H109" s="22" t="s">
        <v>105</v>
      </c>
    </row>
    <row r="110" ht="15.75" customHeight="1" spans="1:16" x14ac:dyDescent="0.25">
      <c r="A110" s="12">
        <f>_xlfn.AGGREGATE(3,3,$B$9:B110)</f>
        <v>84</v>
      </c>
      <c r="B110" s="12">
        <v>237080035</v>
      </c>
      <c r="C110" s="12" t="s">
        <v>142</v>
      </c>
      <c r="D110" s="12" t="s">
        <v>60</v>
      </c>
      <c r="E110" s="13"/>
      <c r="F110" s="13"/>
      <c r="G110" s="14"/>
      <c r="H110" s="22" t="s">
        <v>105</v>
      </c>
    </row>
    <row r="111" ht="15.75" customHeight="1" spans="1:16" x14ac:dyDescent="0.25">
      <c r="A111" s="12">
        <f>_xlfn.AGGREGATE(3,3,$B$9:B111)</f>
        <v>85</v>
      </c>
      <c r="B111" s="12">
        <v>237080037</v>
      </c>
      <c r="C111" s="12" t="s">
        <v>27</v>
      </c>
      <c r="D111" s="12" t="s">
        <v>143</v>
      </c>
      <c r="E111" s="13"/>
      <c r="F111" s="13"/>
      <c r="G111" s="14">
        <f>$G$79</f>
        <v>0</v>
      </c>
      <c r="H111" s="22" t="s">
        <v>105</v>
      </c>
    </row>
    <row r="112" ht="15.75" customHeight="1" spans="1:16" x14ac:dyDescent="0.25">
      <c r="A112" s="12">
        <f>_xlfn.AGGREGATE(3,3,$B$9:B112)</f>
        <v>86</v>
      </c>
      <c r="B112" s="12">
        <v>237080038</v>
      </c>
      <c r="C112" s="12" t="s">
        <v>144</v>
      </c>
      <c r="D112" s="12" t="s">
        <v>52</v>
      </c>
      <c r="E112" s="13"/>
      <c r="F112" s="13"/>
      <c r="G112" s="14"/>
      <c r="H112" s="22" t="s">
        <v>105</v>
      </c>
    </row>
    <row r="113" ht="15.75" customHeight="1" spans="1:16" x14ac:dyDescent="0.25">
      <c r="A113" s="12">
        <f>_xlfn.AGGREGATE(3,3,$B$9:B113)</f>
        <v>87</v>
      </c>
      <c r="B113" s="12">
        <v>247080001</v>
      </c>
      <c r="C113" s="12" t="s">
        <v>145</v>
      </c>
      <c r="D113" s="12" t="s">
        <v>43</v>
      </c>
      <c r="E113" s="24" t="s">
        <v>146</v>
      </c>
      <c r="F113" s="24" t="s">
        <v>146</v>
      </c>
      <c r="G113" s="25" t="s">
        <v>147</v>
      </c>
      <c r="H113" s="22" t="s">
        <v>148</v>
      </c>
    </row>
    <row r="114" ht="15.75" customHeight="1" spans="1:16" x14ac:dyDescent="0.25">
      <c r="A114" s="12">
        <f>_xlfn.AGGREGATE(3,3,$B$9:B114)</f>
        <v>88</v>
      </c>
      <c r="B114" s="12">
        <v>247080002</v>
      </c>
      <c r="C114" s="12" t="s">
        <v>149</v>
      </c>
      <c r="D114" s="12" t="s">
        <v>70</v>
      </c>
      <c r="E114" s="24" t="s">
        <v>146</v>
      </c>
      <c r="F114" s="24" t="s">
        <v>146</v>
      </c>
      <c r="G114" s="25" t="s">
        <v>150</v>
      </c>
      <c r="H114" s="22" t="s">
        <v>148</v>
      </c>
    </row>
    <row r="115" ht="15.75" customHeight="1" spans="1:16" x14ac:dyDescent="0.25">
      <c r="A115" s="12">
        <f>_xlfn.AGGREGATE(3,3,$B$9:B115)</f>
        <v>89</v>
      </c>
      <c r="B115" s="12">
        <v>247080003</v>
      </c>
      <c r="C115" s="12" t="s">
        <v>151</v>
      </c>
      <c r="D115" s="12" t="s">
        <v>152</v>
      </c>
      <c r="E115" s="24">
        <v>75</v>
      </c>
      <c r="F115" s="24" t="s">
        <v>153</v>
      </c>
      <c r="G115" s="14" t="s">
        <v>154</v>
      </c>
      <c r="H115" s="22" t="s">
        <v>148</v>
      </c>
    </row>
    <row r="116" ht="15.75" customHeight="1" spans="1:16" x14ac:dyDescent="0.25">
      <c r="A116" s="12">
        <f>_xlfn.AGGREGATE(3,3,$B$9:B116)</f>
        <v>90</v>
      </c>
      <c r="B116" s="12">
        <v>247080004</v>
      </c>
      <c r="C116" s="12" t="s">
        <v>44</v>
      </c>
      <c r="D116" s="12" t="s">
        <v>72</v>
      </c>
      <c r="E116" s="24">
        <v>75</v>
      </c>
      <c r="F116" s="24" t="s">
        <v>153</v>
      </c>
      <c r="G116" s="14" t="s">
        <v>154</v>
      </c>
      <c r="H116" s="22" t="s">
        <v>148</v>
      </c>
    </row>
    <row r="117" ht="15.75" customHeight="1" spans="1:16" x14ac:dyDescent="0.25">
      <c r="A117" s="12">
        <f>_xlfn.AGGREGATE(3,3,$B$9:B117)</f>
        <v>91</v>
      </c>
      <c r="B117" s="12">
        <v>247080005</v>
      </c>
      <c r="C117" s="12" t="s">
        <v>155</v>
      </c>
      <c r="D117" s="12" t="s">
        <v>156</v>
      </c>
      <c r="E117" s="24">
        <v>72</v>
      </c>
      <c r="F117" s="24" t="s">
        <v>153</v>
      </c>
      <c r="G117" s="14"/>
      <c r="H117" s="22" t="s">
        <v>148</v>
      </c>
    </row>
    <row r="118" ht="15.75" customHeight="1" spans="1:16" x14ac:dyDescent="0.25">
      <c r="A118" s="12">
        <f>_xlfn.AGGREGATE(3,3,$B$9:B118)</f>
        <v>92</v>
      </c>
      <c r="B118" s="12">
        <v>247080006</v>
      </c>
      <c r="C118" s="12" t="s">
        <v>157</v>
      </c>
      <c r="D118" s="12" t="s">
        <v>158</v>
      </c>
      <c r="E118" s="24" t="s">
        <v>146</v>
      </c>
      <c r="F118" s="24" t="s">
        <v>146</v>
      </c>
      <c r="G118" s="26" t="s">
        <v>159</v>
      </c>
      <c r="H118" s="22" t="s">
        <v>148</v>
      </c>
    </row>
    <row r="119" ht="15.75" customHeight="1" spans="1:16" x14ac:dyDescent="0.25">
      <c r="A119" s="12">
        <f>_xlfn.AGGREGATE(3,3,$B$9:B119)</f>
        <v>93</v>
      </c>
      <c r="B119" s="12">
        <v>247080007</v>
      </c>
      <c r="C119" s="12" t="s">
        <v>160</v>
      </c>
      <c r="D119" s="12" t="s">
        <v>161</v>
      </c>
      <c r="E119" s="24">
        <v>75</v>
      </c>
      <c r="F119" s="24" t="s">
        <v>153</v>
      </c>
      <c r="G119" s="14"/>
      <c r="H119" s="22" t="s">
        <v>148</v>
      </c>
    </row>
    <row r="120" ht="15.75" customHeight="1" spans="1:16" x14ac:dyDescent="0.25">
      <c r="A120" s="12">
        <f>_xlfn.AGGREGATE(3,3,$B$9:B120)</f>
        <v>94</v>
      </c>
      <c r="B120" s="12">
        <v>247080008</v>
      </c>
      <c r="C120" s="12" t="s">
        <v>162</v>
      </c>
      <c r="D120" s="12" t="s">
        <v>70</v>
      </c>
      <c r="E120" s="24">
        <v>80</v>
      </c>
      <c r="F120" s="24" t="s">
        <v>163</v>
      </c>
      <c r="G120" s="14"/>
      <c r="H120" s="22" t="s">
        <v>148</v>
      </c>
    </row>
    <row r="121" ht="15.75" customHeight="1" spans="1:16" x14ac:dyDescent="0.25">
      <c r="A121" s="12">
        <f>_xlfn.AGGREGATE(3,3,$B$9:B121)</f>
        <v>95</v>
      </c>
      <c r="B121" s="12">
        <v>247080009</v>
      </c>
      <c r="C121" s="12" t="s">
        <v>164</v>
      </c>
      <c r="D121" s="12" t="s">
        <v>165</v>
      </c>
      <c r="E121" s="24">
        <v>72</v>
      </c>
      <c r="F121" s="24" t="s">
        <v>153</v>
      </c>
      <c r="G121" s="14"/>
      <c r="H121" s="22" t="s">
        <v>148</v>
      </c>
    </row>
    <row r="122" ht="15.75" customHeight="1" spans="1:16" x14ac:dyDescent="0.25">
      <c r="A122" s="12">
        <f>_xlfn.AGGREGATE(3,3,$B$9:B122)</f>
        <v>96</v>
      </c>
      <c r="B122" s="12">
        <v>247080010</v>
      </c>
      <c r="C122" s="12" t="s">
        <v>166</v>
      </c>
      <c r="D122" s="12" t="s">
        <v>15</v>
      </c>
      <c r="E122" s="24">
        <v>78</v>
      </c>
      <c r="F122" s="24" t="s">
        <v>153</v>
      </c>
      <c r="G122" s="14"/>
      <c r="H122" s="22" t="s">
        <v>148</v>
      </c>
    </row>
    <row r="123" ht="15.75" customHeight="1" spans="1:16" x14ac:dyDescent="0.25">
      <c r="A123" s="12">
        <f>_xlfn.AGGREGATE(3,3,$B$9:B123)</f>
        <v>97</v>
      </c>
      <c r="B123" s="12">
        <v>247080011</v>
      </c>
      <c r="C123" s="12" t="s">
        <v>167</v>
      </c>
      <c r="D123" s="12" t="s">
        <v>168</v>
      </c>
      <c r="E123" s="24">
        <v>72</v>
      </c>
      <c r="F123" s="24" t="s">
        <v>153</v>
      </c>
      <c r="G123" s="14"/>
      <c r="H123" s="22" t="s">
        <v>148</v>
      </c>
    </row>
    <row r="124" ht="15.75" customHeight="1" spans="1:16" x14ac:dyDescent="0.25">
      <c r="A124" s="12">
        <f>_xlfn.AGGREGATE(3,3,$B$9:B124)</f>
        <v>98</v>
      </c>
      <c r="B124" s="12">
        <v>247080012</v>
      </c>
      <c r="C124" s="12" t="s">
        <v>169</v>
      </c>
      <c r="D124" s="12" t="s">
        <v>64</v>
      </c>
      <c r="E124" s="24">
        <v>75</v>
      </c>
      <c r="F124" s="24" t="s">
        <v>153</v>
      </c>
      <c r="G124" s="14"/>
      <c r="H124" s="22" t="s">
        <v>148</v>
      </c>
    </row>
    <row r="125" ht="15.75" customHeight="1" spans="1:16" x14ac:dyDescent="0.25">
      <c r="A125" s="12">
        <f>_xlfn.AGGREGATE(3,3,$B$9:B125)</f>
        <v>99</v>
      </c>
      <c r="B125" s="12">
        <v>247080013</v>
      </c>
      <c r="C125" s="12" t="s">
        <v>170</v>
      </c>
      <c r="D125" s="12" t="s">
        <v>171</v>
      </c>
      <c r="E125" s="24">
        <v>72</v>
      </c>
      <c r="F125" s="24" t="s">
        <v>153</v>
      </c>
      <c r="G125" s="14"/>
      <c r="H125" s="22" t="s">
        <v>148</v>
      </c>
    </row>
    <row r="126" ht="15.75" customHeight="1" spans="1:16" x14ac:dyDescent="0.25">
      <c r="A126" s="12">
        <f>_xlfn.AGGREGATE(3,3,$B$9:B126)</f>
        <v>100</v>
      </c>
      <c r="B126" s="12">
        <v>247080014</v>
      </c>
      <c r="C126" s="12" t="s">
        <v>81</v>
      </c>
      <c r="D126" s="12" t="s">
        <v>172</v>
      </c>
      <c r="E126" s="24" t="s">
        <v>146</v>
      </c>
      <c r="F126" s="24" t="s">
        <v>146</v>
      </c>
      <c r="G126" s="25" t="s">
        <v>150</v>
      </c>
      <c r="H126" s="22" t="s">
        <v>148</v>
      </c>
    </row>
    <row r="127" ht="15.75" customHeight="1" spans="1:16" x14ac:dyDescent="0.25">
      <c r="A127" s="12">
        <f>_xlfn.AGGREGATE(3,3,$B$9:B127)</f>
        <v>101</v>
      </c>
      <c r="B127" s="12">
        <v>247080015</v>
      </c>
      <c r="C127" s="12" t="s">
        <v>173</v>
      </c>
      <c r="D127" s="12" t="s">
        <v>174</v>
      </c>
      <c r="E127" s="24">
        <v>72</v>
      </c>
      <c r="F127" s="24" t="s">
        <v>153</v>
      </c>
      <c r="G127" s="14"/>
      <c r="H127" s="22" t="s">
        <v>148</v>
      </c>
    </row>
    <row r="128" ht="15.75" customHeight="1" spans="1:16" x14ac:dyDescent="0.25">
      <c r="A128" s="12">
        <f>_xlfn.AGGREGATE(3,3,$B$9:B128)</f>
        <v>102</v>
      </c>
      <c r="B128" s="12">
        <v>247080016</v>
      </c>
      <c r="C128" s="12" t="s">
        <v>175</v>
      </c>
      <c r="D128" s="12" t="s">
        <v>52</v>
      </c>
      <c r="E128" s="24" t="s">
        <v>146</v>
      </c>
      <c r="F128" s="24" t="s">
        <v>146</v>
      </c>
      <c r="G128" s="26" t="s">
        <v>159</v>
      </c>
      <c r="H128" s="22" t="s">
        <v>148</v>
      </c>
    </row>
    <row r="129" ht="15.75" customHeight="1" spans="1:16" x14ac:dyDescent="0.25">
      <c r="A129" s="12">
        <f>_xlfn.AGGREGATE(3,3,$B$9:B129)</f>
        <v>103</v>
      </c>
      <c r="B129" s="12">
        <v>247080017</v>
      </c>
      <c r="C129" s="12" t="s">
        <v>176</v>
      </c>
      <c r="D129" s="12" t="s">
        <v>177</v>
      </c>
      <c r="E129" s="24">
        <v>72</v>
      </c>
      <c r="F129" s="24" t="s">
        <v>153</v>
      </c>
      <c r="G129" s="14"/>
      <c r="H129" s="22" t="s">
        <v>148</v>
      </c>
    </row>
    <row r="130" ht="15.75" customHeight="1" spans="1:16" x14ac:dyDescent="0.25">
      <c r="A130" s="12">
        <f>_xlfn.AGGREGATE(3,3,$B$9:B130)</f>
        <v>104</v>
      </c>
      <c r="B130" s="12">
        <v>247080018</v>
      </c>
      <c r="C130" s="12" t="s">
        <v>74</v>
      </c>
      <c r="D130" s="12" t="s">
        <v>60</v>
      </c>
      <c r="E130" s="24">
        <v>62</v>
      </c>
      <c r="F130" s="24" t="s">
        <v>178</v>
      </c>
      <c r="G130" s="14" t="s">
        <v>154</v>
      </c>
      <c r="H130" s="22" t="s">
        <v>148</v>
      </c>
    </row>
    <row r="131" ht="15.75" customHeight="1" spans="1:16" x14ac:dyDescent="0.25">
      <c r="A131" s="12">
        <f>_xlfn.AGGREGATE(3,3,$B$9:B131)</f>
        <v>105</v>
      </c>
      <c r="B131" s="12">
        <v>247080019</v>
      </c>
      <c r="C131" s="12" t="s">
        <v>179</v>
      </c>
      <c r="D131" s="12" t="s">
        <v>180</v>
      </c>
      <c r="E131" s="24">
        <v>72</v>
      </c>
      <c r="F131" s="24" t="s">
        <v>153</v>
      </c>
      <c r="G131" s="14"/>
      <c r="H131" s="22" t="s">
        <v>148</v>
      </c>
    </row>
    <row r="132" ht="15.75" customHeight="1" spans="1:16" x14ac:dyDescent="0.25">
      <c r="A132" s="12">
        <f>_xlfn.AGGREGATE(3,3,$B$9:B132)</f>
        <v>106</v>
      </c>
      <c r="B132" s="12">
        <v>247080020</v>
      </c>
      <c r="C132" s="12" t="s">
        <v>181</v>
      </c>
      <c r="D132" s="12" t="s">
        <v>93</v>
      </c>
      <c r="E132" s="24" t="s">
        <v>146</v>
      </c>
      <c r="F132" s="24" t="s">
        <v>146</v>
      </c>
      <c r="G132" s="25" t="s">
        <v>147</v>
      </c>
      <c r="H132" s="22" t="s">
        <v>148</v>
      </c>
    </row>
    <row r="133" ht="15.75" customHeight="1" spans="1:16" x14ac:dyDescent="0.25">
      <c r="A133" s="12">
        <f>_xlfn.AGGREGATE(3,3,$B$9:B133)</f>
        <v>107</v>
      </c>
      <c r="B133" s="12">
        <v>247080021</v>
      </c>
      <c r="C133" s="12" t="s">
        <v>182</v>
      </c>
      <c r="D133" s="12" t="s">
        <v>45</v>
      </c>
      <c r="E133" s="24">
        <v>75</v>
      </c>
      <c r="F133" s="24" t="s">
        <v>153</v>
      </c>
      <c r="G133" s="14" t="s">
        <v>154</v>
      </c>
      <c r="H133" s="22" t="s">
        <v>148</v>
      </c>
    </row>
    <row r="134" ht="15.75" customHeight="1" spans="1:16" x14ac:dyDescent="0.25">
      <c r="A134" s="12">
        <f>_xlfn.AGGREGATE(3,3,$B$9:B134)</f>
        <v>108</v>
      </c>
      <c r="B134" s="12">
        <v>247080022</v>
      </c>
      <c r="C134" s="12" t="s">
        <v>183</v>
      </c>
      <c r="D134" s="12" t="s">
        <v>161</v>
      </c>
      <c r="E134" s="24" t="s">
        <v>146</v>
      </c>
      <c r="F134" s="24" t="s">
        <v>146</v>
      </c>
      <c r="G134" s="25" t="s">
        <v>150</v>
      </c>
      <c r="H134" s="22" t="s">
        <v>148</v>
      </c>
    </row>
    <row r="135" ht="15.75" customHeight="1" spans="1:16" x14ac:dyDescent="0.25">
      <c r="A135" s="12">
        <f>_xlfn.AGGREGATE(3,3,$B$9:B135)</f>
        <v>109</v>
      </c>
      <c r="B135" s="12">
        <v>247080023</v>
      </c>
      <c r="C135" s="12" t="s">
        <v>184</v>
      </c>
      <c r="D135" s="12" t="s">
        <v>185</v>
      </c>
      <c r="E135" s="24">
        <v>72</v>
      </c>
      <c r="F135" s="24" t="s">
        <v>153</v>
      </c>
      <c r="G135" s="14" t="s">
        <v>154</v>
      </c>
      <c r="H135" s="22" t="s">
        <v>148</v>
      </c>
    </row>
    <row r="136" ht="15.75" customHeight="1" spans="1:16" x14ac:dyDescent="0.25">
      <c r="A136" s="12">
        <f>_xlfn.AGGREGATE(3,3,$B$9:B136)</f>
        <v>110</v>
      </c>
      <c r="B136" s="12">
        <v>247080024</v>
      </c>
      <c r="C136" s="12" t="s">
        <v>186</v>
      </c>
      <c r="D136" s="12" t="s">
        <v>187</v>
      </c>
      <c r="E136" s="24" t="s">
        <v>146</v>
      </c>
      <c r="F136" s="24" t="s">
        <v>146</v>
      </c>
      <c r="G136" s="25" t="s">
        <v>147</v>
      </c>
      <c r="H136" s="22" t="s">
        <v>148</v>
      </c>
    </row>
    <row r="137" ht="15.75" customHeight="1" spans="1:16" x14ac:dyDescent="0.25">
      <c r="A137" s="12">
        <f>_xlfn.AGGREGATE(3,3,$B$9:B137)</f>
        <v>111</v>
      </c>
      <c r="B137" s="12">
        <v>247080025</v>
      </c>
      <c r="C137" s="12" t="s">
        <v>188</v>
      </c>
      <c r="D137" s="12" t="s">
        <v>189</v>
      </c>
      <c r="E137" s="24" t="s">
        <v>146</v>
      </c>
      <c r="F137" s="24" t="s">
        <v>146</v>
      </c>
      <c r="G137" s="25" t="s">
        <v>147</v>
      </c>
      <c r="H137" s="22" t="s">
        <v>148</v>
      </c>
    </row>
    <row r="138" ht="15.75" customHeight="1" spans="1:16" x14ac:dyDescent="0.25">
      <c r="A138" s="12">
        <f>_xlfn.AGGREGATE(3,3,$B$9:B138)</f>
        <v>112</v>
      </c>
      <c r="B138" s="12">
        <v>217060001</v>
      </c>
      <c r="C138" s="12" t="s">
        <v>184</v>
      </c>
      <c r="D138" s="12" t="s">
        <v>190</v>
      </c>
      <c r="E138" s="13"/>
      <c r="F138" s="13"/>
      <c r="G138" s="14"/>
      <c r="H138" s="22" t="s">
        <v>191</v>
      </c>
    </row>
    <row r="139" ht="15.75" customHeight="1" spans="1:16" x14ac:dyDescent="0.25">
      <c r="A139" s="12">
        <f>_xlfn.AGGREGATE(3,3,$B$9:B139)</f>
        <v>113</v>
      </c>
      <c r="B139" s="12">
        <v>217060002</v>
      </c>
      <c r="C139" s="12" t="s">
        <v>192</v>
      </c>
      <c r="D139" s="12" t="s">
        <v>70</v>
      </c>
      <c r="E139" s="13"/>
      <c r="F139" s="13"/>
      <c r="G139" s="14"/>
      <c r="H139" s="22" t="s">
        <v>191</v>
      </c>
    </row>
    <row r="140" ht="15.75" customHeight="1" spans="1:16" x14ac:dyDescent="0.25">
      <c r="A140" s="12">
        <f>_xlfn.AGGREGATE(3,3,$B$9:B140)</f>
        <v>114</v>
      </c>
      <c r="B140" s="12">
        <v>217060003</v>
      </c>
      <c r="C140" s="12" t="s">
        <v>193</v>
      </c>
      <c r="D140" s="12" t="s">
        <v>143</v>
      </c>
      <c r="E140" s="13"/>
      <c r="F140" s="13"/>
      <c r="G140" s="14"/>
      <c r="H140" s="22" t="s">
        <v>191</v>
      </c>
    </row>
    <row r="141" ht="15.75" customHeight="1" spans="1:16" x14ac:dyDescent="0.25">
      <c r="A141" s="12">
        <f>_xlfn.AGGREGATE(3,3,$B$9:B141)</f>
        <v>115</v>
      </c>
      <c r="B141" s="12">
        <v>217060006</v>
      </c>
      <c r="C141" s="12" t="s">
        <v>175</v>
      </c>
      <c r="D141" s="12" t="s">
        <v>194</v>
      </c>
      <c r="E141" s="13"/>
      <c r="F141" s="13"/>
      <c r="G141" s="14" t="str">
        <f>$G$135</f>
        <v>Trừ 10 điểm chưa CNTTSV</v>
      </c>
      <c r="H141" s="22" t="s">
        <v>191</v>
      </c>
    </row>
    <row r="142" ht="15.75" customHeight="1" spans="1:16" x14ac:dyDescent="0.25">
      <c r="A142" s="12">
        <f>_xlfn.AGGREGATE(3,3,$B$9:B142)</f>
        <v>116</v>
      </c>
      <c r="B142" s="12">
        <v>217060007</v>
      </c>
      <c r="C142" s="12" t="s">
        <v>44</v>
      </c>
      <c r="D142" s="12" t="s">
        <v>40</v>
      </c>
      <c r="E142" s="13"/>
      <c r="F142" s="13"/>
      <c r="G142" s="14"/>
      <c r="H142" s="22" t="s">
        <v>191</v>
      </c>
    </row>
    <row r="143" ht="15.75" customHeight="1" spans="1:16" x14ac:dyDescent="0.25">
      <c r="A143" s="12">
        <f>_xlfn.AGGREGATE(3,3,$B$9:B143)</f>
        <v>117</v>
      </c>
      <c r="B143" s="12">
        <v>217060008</v>
      </c>
      <c r="C143" s="12" t="s">
        <v>195</v>
      </c>
      <c r="D143" s="12" t="s">
        <v>196</v>
      </c>
      <c r="E143" s="13"/>
      <c r="F143" s="13"/>
      <c r="G143" s="14"/>
      <c r="H143" s="22" t="s">
        <v>191</v>
      </c>
    </row>
    <row r="144" ht="15.75" customHeight="1" spans="1:16" x14ac:dyDescent="0.25">
      <c r="A144" s="12">
        <f>_xlfn.AGGREGATE(3,3,$B$9:B144)</f>
        <v>118</v>
      </c>
      <c r="B144" s="12">
        <v>217060010</v>
      </c>
      <c r="C144" s="12" t="s">
        <v>197</v>
      </c>
      <c r="D144" s="12" t="s">
        <v>126</v>
      </c>
      <c r="E144" s="13"/>
      <c r="F144" s="13"/>
      <c r="G144" s="14" t="str">
        <f>$G$135</f>
        <v>Trừ 10 điểm chưa CNTTSV</v>
      </c>
      <c r="H144" s="22" t="s">
        <v>191</v>
      </c>
    </row>
    <row r="145" ht="15.75" customHeight="1" spans="1:16" x14ac:dyDescent="0.25">
      <c r="A145" s="12">
        <f>_xlfn.AGGREGATE(3,3,$B$9:B145)</f>
        <v>119</v>
      </c>
      <c r="B145" s="12">
        <v>217060011</v>
      </c>
      <c r="C145" s="12" t="s">
        <v>198</v>
      </c>
      <c r="D145" s="12" t="s">
        <v>64</v>
      </c>
      <c r="E145" s="13"/>
      <c r="F145" s="13"/>
      <c r="G145" s="14"/>
      <c r="H145" s="22" t="s">
        <v>191</v>
      </c>
    </row>
    <row r="146" ht="15.75" customHeight="1" spans="1:16" x14ac:dyDescent="0.25">
      <c r="A146" s="12">
        <f>_xlfn.AGGREGATE(3,3,$B$9:B146)</f>
        <v>120</v>
      </c>
      <c r="B146" s="12">
        <v>217060015</v>
      </c>
      <c r="C146" s="12" t="s">
        <v>199</v>
      </c>
      <c r="D146" s="12" t="s">
        <v>200</v>
      </c>
      <c r="E146" s="13"/>
      <c r="F146" s="13"/>
      <c r="G146" s="14"/>
      <c r="H146" s="22" t="s">
        <v>191</v>
      </c>
    </row>
    <row r="147" ht="15.75" customHeight="1" spans="1:16" x14ac:dyDescent="0.25">
      <c r="A147" s="12">
        <f>_xlfn.AGGREGATE(3,3,$B$9:B147)</f>
        <v>121</v>
      </c>
      <c r="B147" s="12">
        <v>217060016</v>
      </c>
      <c r="C147" s="12" t="s">
        <v>201</v>
      </c>
      <c r="D147" s="12" t="s">
        <v>168</v>
      </c>
      <c r="E147" s="13"/>
      <c r="F147" s="13"/>
      <c r="G147" s="14"/>
      <c r="H147" s="22" t="s">
        <v>191</v>
      </c>
    </row>
    <row r="148" ht="15.75" customHeight="1" spans="1:16" x14ac:dyDescent="0.25">
      <c r="A148" s="12">
        <f>_xlfn.AGGREGATE(3,3,$B$9:B148)</f>
        <v>122</v>
      </c>
      <c r="B148" s="12">
        <v>217060017</v>
      </c>
      <c r="C148" s="12" t="s">
        <v>202</v>
      </c>
      <c r="D148" s="12" t="s">
        <v>122</v>
      </c>
      <c r="E148" s="13"/>
      <c r="F148" s="13"/>
      <c r="G148" s="14"/>
      <c r="H148" s="22" t="s">
        <v>191</v>
      </c>
    </row>
    <row r="149" ht="15.75" customHeight="1" spans="1:16" x14ac:dyDescent="0.25">
      <c r="A149" s="12">
        <f>_xlfn.AGGREGATE(3,3,$B$9:B149)</f>
        <v>123</v>
      </c>
      <c r="B149" s="12">
        <v>217060018</v>
      </c>
      <c r="C149" s="12" t="s">
        <v>83</v>
      </c>
      <c r="D149" s="12" t="s">
        <v>203</v>
      </c>
      <c r="E149" s="13"/>
      <c r="F149" s="13"/>
      <c r="G149" s="14"/>
      <c r="H149" s="22" t="s">
        <v>191</v>
      </c>
    </row>
    <row r="150" ht="15.75" customHeight="1" spans="1:16" x14ac:dyDescent="0.25">
      <c r="A150" s="12">
        <f>_xlfn.AGGREGATE(3,3,$B$9:B150)</f>
        <v>124</v>
      </c>
      <c r="B150" s="12">
        <v>217060020</v>
      </c>
      <c r="C150" s="12" t="s">
        <v>176</v>
      </c>
      <c r="D150" s="12" t="s">
        <v>204</v>
      </c>
      <c r="E150" s="13"/>
      <c r="F150" s="13"/>
      <c r="G150" s="14"/>
      <c r="H150" s="22" t="s">
        <v>191</v>
      </c>
    </row>
    <row r="151" ht="15.75" customHeight="1" spans="1:16" x14ac:dyDescent="0.25">
      <c r="A151" s="12">
        <f>_xlfn.AGGREGATE(3,3,$B$9:B151)</f>
        <v>125</v>
      </c>
      <c r="B151" s="12">
        <v>217060027</v>
      </c>
      <c r="C151" s="12" t="s">
        <v>205</v>
      </c>
      <c r="D151" s="12" t="s">
        <v>122</v>
      </c>
      <c r="E151" s="13"/>
      <c r="F151" s="13"/>
      <c r="G151" s="14"/>
      <c r="H151" s="22" t="s">
        <v>191</v>
      </c>
    </row>
    <row r="152" ht="15.75" customHeight="1" spans="1:16" x14ac:dyDescent="0.25">
      <c r="A152" s="12">
        <f>_xlfn.AGGREGATE(3,3,$B$9:B152)</f>
        <v>126</v>
      </c>
      <c r="B152" s="12">
        <v>217060028</v>
      </c>
      <c r="C152" s="12" t="s">
        <v>115</v>
      </c>
      <c r="D152" s="12" t="s">
        <v>206</v>
      </c>
      <c r="E152" s="13"/>
      <c r="F152" s="13"/>
      <c r="G152" s="14"/>
      <c r="H152" s="22" t="s">
        <v>191</v>
      </c>
    </row>
    <row r="153" ht="15.75" customHeight="1" spans="1:16" x14ac:dyDescent="0.25">
      <c r="A153" s="12">
        <f>_xlfn.AGGREGATE(3,3,$B$9:B153)</f>
        <v>127</v>
      </c>
      <c r="B153" s="12">
        <v>217060030</v>
      </c>
      <c r="C153" s="12" t="s">
        <v>73</v>
      </c>
      <c r="D153" s="12" t="s">
        <v>70</v>
      </c>
      <c r="E153" s="13"/>
      <c r="F153" s="13"/>
      <c r="G153" s="14" t="str">
        <f>$G$135</f>
        <v>Trừ 10 điểm chưa CNTTSV</v>
      </c>
      <c r="H153" s="22" t="s">
        <v>191</v>
      </c>
    </row>
    <row r="154" ht="15.75" customHeight="1" spans="1:16" x14ac:dyDescent="0.25">
      <c r="A154" s="12">
        <f>_xlfn.AGGREGATE(3,3,$B$9:B154)</f>
        <v>128</v>
      </c>
      <c r="B154" s="12">
        <v>217060033</v>
      </c>
      <c r="C154" s="12" t="s">
        <v>207</v>
      </c>
      <c r="D154" s="12" t="s">
        <v>208</v>
      </c>
      <c r="E154" s="13"/>
      <c r="F154" s="13"/>
      <c r="G154" s="14"/>
      <c r="H154" s="22" t="s">
        <v>191</v>
      </c>
    </row>
    <row r="155" ht="15.75" customHeight="1" spans="1:16" x14ac:dyDescent="0.25">
      <c r="A155" s="12">
        <f>_xlfn.AGGREGATE(3,3,$B$9:B155)</f>
        <v>129</v>
      </c>
      <c r="B155" s="12">
        <v>217060036</v>
      </c>
      <c r="C155" s="12" t="s">
        <v>29</v>
      </c>
      <c r="D155" s="12" t="s">
        <v>209</v>
      </c>
      <c r="E155" s="13"/>
      <c r="F155" s="13"/>
      <c r="G155" s="14" t="str">
        <f>$G$168</f>
        <v>Trừ 10 điểm chưa CNTTSV</v>
      </c>
      <c r="H155" s="22" t="s">
        <v>191</v>
      </c>
    </row>
    <row r="156" ht="15.75" customHeight="1" spans="1:16" x14ac:dyDescent="0.25">
      <c r="A156" s="12">
        <f>_xlfn.AGGREGATE(3,3,$B$9:B156)</f>
        <v>130</v>
      </c>
      <c r="B156" s="12">
        <v>217060037</v>
      </c>
      <c r="C156" s="12" t="s">
        <v>210</v>
      </c>
      <c r="D156" s="12" t="s">
        <v>64</v>
      </c>
      <c r="E156" s="13"/>
      <c r="F156" s="13"/>
      <c r="G156" s="14"/>
      <c r="H156" s="22" t="s">
        <v>191</v>
      </c>
    </row>
    <row r="157" ht="15.75" customHeight="1" spans="1:16" x14ac:dyDescent="0.25">
      <c r="A157" s="12">
        <f>_xlfn.AGGREGATE(3,3,$B$9:B157)</f>
        <v>131</v>
      </c>
      <c r="B157" s="12">
        <v>217060038</v>
      </c>
      <c r="C157" s="12" t="s">
        <v>211</v>
      </c>
      <c r="D157" s="12" t="s">
        <v>97</v>
      </c>
      <c r="E157" s="13"/>
      <c r="F157" s="13"/>
      <c r="G157" s="14"/>
      <c r="H157" s="22" t="s">
        <v>191</v>
      </c>
    </row>
    <row r="158" ht="15.75" customHeight="1" spans="1:16" x14ac:dyDescent="0.25">
      <c r="A158" s="12">
        <f>_xlfn.AGGREGATE(3,3,$B$9:B158)</f>
        <v>132</v>
      </c>
      <c r="B158" s="12">
        <v>217060039</v>
      </c>
      <c r="C158" s="12" t="s">
        <v>53</v>
      </c>
      <c r="D158" s="12" t="s">
        <v>34</v>
      </c>
      <c r="E158" s="13"/>
      <c r="F158" s="13"/>
      <c r="G158" s="14" t="str">
        <f>$G$168</f>
        <v>Trừ 10 điểm chưa CNTTSV</v>
      </c>
      <c r="H158" s="22" t="s">
        <v>191</v>
      </c>
    </row>
    <row r="159" ht="15.75" customHeight="1" spans="1:16" x14ac:dyDescent="0.25">
      <c r="A159" s="12">
        <f>_xlfn.AGGREGATE(3,3,$B$9:B159)</f>
        <v>133</v>
      </c>
      <c r="B159" s="12">
        <v>217060040</v>
      </c>
      <c r="C159" s="12" t="s">
        <v>212</v>
      </c>
      <c r="D159" s="12" t="s">
        <v>70</v>
      </c>
      <c r="E159" s="13"/>
      <c r="F159" s="13"/>
      <c r="G159" s="14"/>
      <c r="H159" s="22" t="s">
        <v>191</v>
      </c>
    </row>
    <row r="160" ht="15.75" customHeight="1" spans="1:16" x14ac:dyDescent="0.25">
      <c r="A160" s="12">
        <f>_xlfn.AGGREGATE(3,3,$B$9:B160)</f>
        <v>134</v>
      </c>
      <c r="B160" s="12">
        <v>217060042</v>
      </c>
      <c r="C160" s="12" t="s">
        <v>213</v>
      </c>
      <c r="D160" s="12" t="s">
        <v>214</v>
      </c>
      <c r="E160" s="13"/>
      <c r="F160" s="13"/>
      <c r="G160" s="14"/>
      <c r="H160" s="22" t="s">
        <v>191</v>
      </c>
    </row>
    <row r="161" ht="15.75" customHeight="1" spans="1:16" x14ac:dyDescent="0.25">
      <c r="A161" s="12">
        <f>_xlfn.AGGREGATE(3,3,$B$9:B161)</f>
        <v>135</v>
      </c>
      <c r="B161" s="12">
        <v>217060043</v>
      </c>
      <c r="C161" s="12" t="s">
        <v>215</v>
      </c>
      <c r="D161" s="12" t="s">
        <v>116</v>
      </c>
      <c r="E161" s="13"/>
      <c r="F161" s="13"/>
      <c r="G161" s="14"/>
      <c r="H161" s="22" t="s">
        <v>191</v>
      </c>
    </row>
    <row r="162" ht="15.75" customHeight="1" spans="1:16" x14ac:dyDescent="0.25">
      <c r="A162" s="12">
        <f>_xlfn.AGGREGATE(3,3,$B$9:B162)</f>
        <v>136</v>
      </c>
      <c r="B162" s="12">
        <v>217060044</v>
      </c>
      <c r="C162" s="12" t="s">
        <v>216</v>
      </c>
      <c r="D162" s="12" t="s">
        <v>217</v>
      </c>
      <c r="E162" s="13"/>
      <c r="F162" s="13"/>
      <c r="G162" s="14"/>
      <c r="H162" s="22" t="s">
        <v>191</v>
      </c>
    </row>
    <row r="163" ht="15.75" customHeight="1" spans="1:16" x14ac:dyDescent="0.25">
      <c r="A163" s="12">
        <f>_xlfn.AGGREGATE(3,3,$B$9:B163)</f>
        <v>137</v>
      </c>
      <c r="B163" s="12">
        <v>217060046</v>
      </c>
      <c r="C163" s="12" t="s">
        <v>218</v>
      </c>
      <c r="D163" s="12" t="s">
        <v>204</v>
      </c>
      <c r="E163" s="13"/>
      <c r="F163" s="13"/>
      <c r="G163" s="14" t="str">
        <f>$G$168</f>
        <v>Trừ 10 điểm chưa CNTTSV</v>
      </c>
      <c r="H163" s="22" t="s">
        <v>191</v>
      </c>
    </row>
    <row r="164" ht="15.75" customHeight="1" spans="1:16" x14ac:dyDescent="0.25">
      <c r="A164" s="12">
        <f>_xlfn.AGGREGATE(3,3,$B$9:B164)</f>
        <v>138</v>
      </c>
      <c r="B164" s="12">
        <v>217060047</v>
      </c>
      <c r="C164" s="12" t="s">
        <v>219</v>
      </c>
      <c r="D164" s="12" t="s">
        <v>28</v>
      </c>
      <c r="E164" s="13"/>
      <c r="F164" s="13"/>
      <c r="G164" s="14" t="str">
        <f>$G$187</f>
        <v>Trừ 10 điểm chưa CNTTSV</v>
      </c>
      <c r="H164" s="22" t="s">
        <v>191</v>
      </c>
    </row>
    <row r="165" ht="15.75" customHeight="1" spans="1:16" x14ac:dyDescent="0.25">
      <c r="A165" s="12">
        <f>_xlfn.AGGREGATE(3,3,$B$9:B165)</f>
        <v>139</v>
      </c>
      <c r="B165" s="12">
        <v>217060048</v>
      </c>
      <c r="C165" s="12" t="s">
        <v>81</v>
      </c>
      <c r="D165" s="12" t="s">
        <v>220</v>
      </c>
      <c r="E165" s="13"/>
      <c r="F165" s="13"/>
      <c r="G165" s="14" t="str">
        <f>$G$187</f>
        <v>Trừ 10 điểm chưa CNTTSV</v>
      </c>
      <c r="H165" s="22" t="s">
        <v>191</v>
      </c>
    </row>
    <row r="166" ht="15.75" customHeight="1" spans="1:16" x14ac:dyDescent="0.25">
      <c r="A166" s="12">
        <f>_xlfn.AGGREGATE(3,3,$B$9:B166)</f>
        <v>140</v>
      </c>
      <c r="B166" s="12">
        <v>217060049</v>
      </c>
      <c r="C166" s="12" t="s">
        <v>221</v>
      </c>
      <c r="D166" s="12" t="s">
        <v>97</v>
      </c>
      <c r="E166" s="13"/>
      <c r="F166" s="13"/>
      <c r="G166" s="14"/>
      <c r="H166" s="22" t="s">
        <v>191</v>
      </c>
    </row>
    <row r="167" ht="15.75" customHeight="1" spans="1:16" x14ac:dyDescent="0.25">
      <c r="A167" s="12">
        <f>_xlfn.AGGREGATE(3,3,$B$9:B167)</f>
        <v>141</v>
      </c>
      <c r="B167" s="12">
        <v>217060050</v>
      </c>
      <c r="C167" s="12" t="s">
        <v>222</v>
      </c>
      <c r="D167" s="12" t="s">
        <v>200</v>
      </c>
      <c r="E167" s="13"/>
      <c r="F167" s="13"/>
      <c r="G167" s="14"/>
      <c r="H167" s="22" t="s">
        <v>191</v>
      </c>
    </row>
    <row r="168" ht="15.75" customHeight="1" spans="1:16" x14ac:dyDescent="0.25">
      <c r="A168" s="12">
        <f>_xlfn.AGGREGATE(3,3,$B$9:B168)</f>
        <v>142</v>
      </c>
      <c r="B168" s="12">
        <v>217060051</v>
      </c>
      <c r="C168" s="12" t="s">
        <v>223</v>
      </c>
      <c r="D168" s="12" t="s">
        <v>38</v>
      </c>
      <c r="E168" s="13"/>
      <c r="F168" s="13"/>
      <c r="G168" s="14" t="str">
        <f>$G$135</f>
        <v>Trừ 10 điểm chưa CNTTSV</v>
      </c>
      <c r="H168" s="22" t="s">
        <v>191</v>
      </c>
    </row>
    <row r="169" ht="15.75" customHeight="1" spans="1:16" x14ac:dyDescent="0.25">
      <c r="A169" s="12">
        <f>_xlfn.AGGREGATE(3,3,$B$9:B169)</f>
        <v>143</v>
      </c>
      <c r="B169" s="12">
        <v>217060052</v>
      </c>
      <c r="C169" s="12" t="s">
        <v>224</v>
      </c>
      <c r="D169" s="12" t="s">
        <v>225</v>
      </c>
      <c r="E169" s="13"/>
      <c r="F169" s="13"/>
      <c r="G169" s="14"/>
      <c r="H169" s="22" t="s">
        <v>191</v>
      </c>
    </row>
    <row r="170" ht="15.75" customHeight="1" spans="1:16" x14ac:dyDescent="0.25">
      <c r="A170" s="12">
        <f>_xlfn.AGGREGATE(3,3,$B$9:B170)</f>
        <v>144</v>
      </c>
      <c r="B170" s="12">
        <v>217060054</v>
      </c>
      <c r="C170" s="12" t="s">
        <v>226</v>
      </c>
      <c r="D170" s="12" t="s">
        <v>184</v>
      </c>
      <c r="E170" s="13"/>
      <c r="F170" s="13"/>
      <c r="G170" s="14"/>
      <c r="H170" s="22" t="s">
        <v>191</v>
      </c>
    </row>
    <row r="171" ht="15.75" customHeight="1" spans="1:16" x14ac:dyDescent="0.25">
      <c r="A171" s="12">
        <f>_xlfn.AGGREGATE(3,3,$B$9:B171)</f>
        <v>145</v>
      </c>
      <c r="B171" s="12">
        <v>217060056</v>
      </c>
      <c r="C171" s="12" t="s">
        <v>227</v>
      </c>
      <c r="D171" s="12" t="s">
        <v>58</v>
      </c>
      <c r="E171" s="13"/>
      <c r="F171" s="13"/>
      <c r="G171" s="14" t="str">
        <f>$G$168</f>
        <v>Trừ 10 điểm chưa CNTTSV</v>
      </c>
      <c r="H171" s="22" t="s">
        <v>191</v>
      </c>
    </row>
    <row r="172" ht="15.75" customHeight="1" spans="1:16" x14ac:dyDescent="0.25">
      <c r="A172" s="12">
        <f>_xlfn.AGGREGATE(3,3,$B$9:B172)</f>
        <v>146</v>
      </c>
      <c r="B172" s="12">
        <v>217060057</v>
      </c>
      <c r="C172" s="12" t="s">
        <v>228</v>
      </c>
      <c r="D172" s="12" t="s">
        <v>209</v>
      </c>
      <c r="E172" s="13"/>
      <c r="F172" s="13"/>
      <c r="G172" s="14"/>
      <c r="H172" s="22" t="s">
        <v>191</v>
      </c>
    </row>
    <row r="173" ht="15.75" customHeight="1" spans="1:16" x14ac:dyDescent="0.25">
      <c r="A173" s="12">
        <f>_xlfn.AGGREGATE(3,3,$B$9:B173)</f>
        <v>147</v>
      </c>
      <c r="B173" s="12">
        <v>217060058</v>
      </c>
      <c r="C173" s="12" t="s">
        <v>229</v>
      </c>
      <c r="D173" s="12" t="s">
        <v>60</v>
      </c>
      <c r="E173" s="13"/>
      <c r="F173" s="13"/>
      <c r="G173" s="14" t="str">
        <f>$G$168</f>
        <v>Trừ 10 điểm chưa CNTTSV</v>
      </c>
      <c r="H173" s="22" t="s">
        <v>191</v>
      </c>
    </row>
    <row r="174" ht="15.75" customHeight="1" spans="1:16" x14ac:dyDescent="0.25">
      <c r="A174" s="12">
        <f>_xlfn.AGGREGATE(3,3,$B$9:B174)</f>
        <v>148</v>
      </c>
      <c r="B174" s="12">
        <v>217060059</v>
      </c>
      <c r="C174" s="12" t="s">
        <v>23</v>
      </c>
      <c r="D174" s="12" t="s">
        <v>107</v>
      </c>
      <c r="E174" s="13"/>
      <c r="F174" s="13"/>
      <c r="G174" s="14" t="str">
        <f>$G$168</f>
        <v>Trừ 10 điểm chưa CNTTSV</v>
      </c>
      <c r="H174" s="22" t="s">
        <v>191</v>
      </c>
    </row>
    <row r="175" ht="15.75" customHeight="1" spans="1:16" x14ac:dyDescent="0.25">
      <c r="A175" s="12">
        <f>_xlfn.AGGREGATE(3,3,$B$9:B175)</f>
        <v>149</v>
      </c>
      <c r="B175" s="12">
        <v>217060061</v>
      </c>
      <c r="C175" s="12" t="s">
        <v>230</v>
      </c>
      <c r="D175" s="12" t="s">
        <v>64</v>
      </c>
      <c r="E175" s="13"/>
      <c r="F175" s="13"/>
      <c r="G175" s="14"/>
      <c r="H175" s="22" t="s">
        <v>191</v>
      </c>
    </row>
    <row r="176" ht="15.75" customHeight="1" spans="1:16" x14ac:dyDescent="0.25">
      <c r="A176" s="12">
        <f>_xlfn.AGGREGATE(3,3,$B$9:B176)</f>
        <v>150</v>
      </c>
      <c r="B176" s="12">
        <v>217060062</v>
      </c>
      <c r="C176" s="12" t="s">
        <v>231</v>
      </c>
      <c r="D176" s="12" t="s">
        <v>204</v>
      </c>
      <c r="E176" s="13"/>
      <c r="F176" s="13"/>
      <c r="G176" s="14" t="str">
        <f>$G$168</f>
        <v>Trừ 10 điểm chưa CNTTSV</v>
      </c>
      <c r="H176" s="22" t="s">
        <v>191</v>
      </c>
    </row>
    <row r="177" ht="15.75" customHeight="1" spans="1:16" x14ac:dyDescent="0.25">
      <c r="A177" s="12">
        <f>_xlfn.AGGREGATE(3,3,$B$9:B177)</f>
        <v>151</v>
      </c>
      <c r="B177" s="12">
        <v>217060064</v>
      </c>
      <c r="C177" s="12" t="s">
        <v>127</v>
      </c>
      <c r="D177" s="12" t="s">
        <v>62</v>
      </c>
      <c r="E177" s="13"/>
      <c r="F177" s="13"/>
      <c r="G177" s="14"/>
      <c r="H177" s="22" t="s">
        <v>191</v>
      </c>
    </row>
    <row r="178" ht="15.75" customHeight="1" spans="1:16" x14ac:dyDescent="0.25">
      <c r="A178" s="12">
        <f>_xlfn.AGGREGATE(3,3,$B$9:B178)</f>
        <v>152</v>
      </c>
      <c r="B178" s="12">
        <v>217060065</v>
      </c>
      <c r="C178" s="12" t="s">
        <v>127</v>
      </c>
      <c r="D178" s="12" t="s">
        <v>232</v>
      </c>
      <c r="E178" s="13"/>
      <c r="F178" s="13"/>
      <c r="G178" s="14"/>
      <c r="H178" s="22" t="s">
        <v>191</v>
      </c>
    </row>
    <row r="179" ht="15.75" customHeight="1" spans="1:16" x14ac:dyDescent="0.25">
      <c r="A179" s="12">
        <f>_xlfn.AGGREGATE(3,3,$B$9:B179)</f>
        <v>153</v>
      </c>
      <c r="B179" s="12">
        <v>217060068</v>
      </c>
      <c r="C179" s="12" t="s">
        <v>233</v>
      </c>
      <c r="D179" s="12" t="s">
        <v>234</v>
      </c>
      <c r="E179" s="13"/>
      <c r="F179" s="13"/>
      <c r="G179" s="14" t="str">
        <f>$G$135</f>
        <v>Trừ 10 điểm chưa CNTTSV</v>
      </c>
      <c r="H179" s="22" t="s">
        <v>191</v>
      </c>
    </row>
    <row r="180" ht="15.75" customHeight="1" spans="1:16" x14ac:dyDescent="0.25">
      <c r="A180" s="12">
        <f>_xlfn.AGGREGATE(3,3,$B$9:B180)</f>
        <v>154</v>
      </c>
      <c r="B180" s="12">
        <v>217060069</v>
      </c>
      <c r="C180" s="12" t="s">
        <v>155</v>
      </c>
      <c r="D180" s="12" t="s">
        <v>84</v>
      </c>
      <c r="E180" s="13"/>
      <c r="F180" s="13"/>
      <c r="G180" s="14"/>
      <c r="H180" s="22" t="s">
        <v>191</v>
      </c>
    </row>
    <row r="181" ht="15.75" customHeight="1" spans="1:16" x14ac:dyDescent="0.25">
      <c r="A181" s="12">
        <f>_xlfn.AGGREGATE(3,3,$B$9:B181)</f>
        <v>155</v>
      </c>
      <c r="B181" s="12">
        <v>217060071</v>
      </c>
      <c r="C181" s="12" t="s">
        <v>89</v>
      </c>
      <c r="D181" s="12" t="s">
        <v>235</v>
      </c>
      <c r="E181" s="13"/>
      <c r="F181" s="13"/>
      <c r="G181" s="14"/>
      <c r="H181" s="22" t="s">
        <v>191</v>
      </c>
    </row>
    <row r="182" ht="15.75" customHeight="1" spans="1:16" x14ac:dyDescent="0.25">
      <c r="A182" s="12">
        <f>_xlfn.AGGREGATE(3,3,$B$9:B182)</f>
        <v>156</v>
      </c>
      <c r="B182" s="12">
        <v>217060072</v>
      </c>
      <c r="C182" s="12" t="s">
        <v>236</v>
      </c>
      <c r="D182" s="12" t="s">
        <v>232</v>
      </c>
      <c r="E182" s="13"/>
      <c r="F182" s="13"/>
      <c r="G182" s="14" t="str">
        <f>$G$168</f>
        <v>Trừ 10 điểm chưa CNTTSV</v>
      </c>
      <c r="H182" s="22" t="s">
        <v>191</v>
      </c>
    </row>
    <row r="183" ht="15.75" customHeight="1" spans="1:16" x14ac:dyDescent="0.25">
      <c r="A183" s="12">
        <f>_xlfn.AGGREGATE(3,3,$B$9:B183)</f>
        <v>157</v>
      </c>
      <c r="B183" s="12">
        <v>217060073</v>
      </c>
      <c r="C183" s="12" t="s">
        <v>210</v>
      </c>
      <c r="D183" s="12" t="s">
        <v>109</v>
      </c>
      <c r="E183" s="13"/>
      <c r="F183" s="13"/>
      <c r="G183" s="14"/>
      <c r="H183" s="22" t="s">
        <v>191</v>
      </c>
    </row>
    <row r="184" ht="15.75" customHeight="1" spans="1:16" x14ac:dyDescent="0.25">
      <c r="A184" s="12">
        <f>_xlfn.AGGREGATE(3,3,$B$9:B184)</f>
        <v>158</v>
      </c>
      <c r="B184" s="12">
        <v>217060074</v>
      </c>
      <c r="C184" s="12" t="s">
        <v>237</v>
      </c>
      <c r="D184" s="12" t="s">
        <v>238</v>
      </c>
      <c r="E184" s="13"/>
      <c r="F184" s="13"/>
      <c r="G184" s="14"/>
      <c r="H184" s="22" t="s">
        <v>191</v>
      </c>
    </row>
    <row r="185" ht="15.75" customHeight="1" spans="1:16" x14ac:dyDescent="0.25">
      <c r="A185" s="12">
        <f>_xlfn.AGGREGATE(3,3,$B$9:B185)</f>
        <v>159</v>
      </c>
      <c r="B185" s="12">
        <v>217060075</v>
      </c>
      <c r="C185" s="12" t="s">
        <v>239</v>
      </c>
      <c r="D185" s="12" t="s">
        <v>34</v>
      </c>
      <c r="E185" s="13"/>
      <c r="F185" s="13"/>
      <c r="G185" s="14"/>
      <c r="H185" s="22" t="s">
        <v>191</v>
      </c>
    </row>
    <row r="186" ht="15.75" customHeight="1" spans="1:16" x14ac:dyDescent="0.25">
      <c r="A186" s="12">
        <f>_xlfn.AGGREGATE(3,3,$B$9:B186)</f>
        <v>160</v>
      </c>
      <c r="B186" s="12">
        <v>217060076</v>
      </c>
      <c r="C186" s="12" t="s">
        <v>240</v>
      </c>
      <c r="D186" s="12" t="s">
        <v>241</v>
      </c>
      <c r="E186" s="13"/>
      <c r="F186" s="13"/>
      <c r="G186" s="14"/>
      <c r="H186" s="22" t="s">
        <v>191</v>
      </c>
    </row>
    <row r="187" ht="15.75" customHeight="1" spans="1:16" x14ac:dyDescent="0.25">
      <c r="A187" s="12">
        <f>_xlfn.AGGREGATE(3,3,$B$9:B187)</f>
        <v>161</v>
      </c>
      <c r="B187" s="12">
        <v>217060078</v>
      </c>
      <c r="C187" s="12" t="s">
        <v>242</v>
      </c>
      <c r="D187" s="12" t="s">
        <v>92</v>
      </c>
      <c r="E187" s="13"/>
      <c r="F187" s="13"/>
      <c r="G187" s="14" t="str">
        <f>$G$135</f>
        <v>Trừ 10 điểm chưa CNTTSV</v>
      </c>
      <c r="H187" s="22" t="s">
        <v>191</v>
      </c>
    </row>
    <row r="188" ht="15.75" customHeight="1" spans="1:16" x14ac:dyDescent="0.25">
      <c r="A188" s="12">
        <f>_xlfn.AGGREGATE(3,3,$B$9:B188)</f>
        <v>162</v>
      </c>
      <c r="B188" s="12">
        <v>217060080</v>
      </c>
      <c r="C188" s="12" t="s">
        <v>78</v>
      </c>
      <c r="D188" s="12" t="s">
        <v>174</v>
      </c>
      <c r="E188" s="13"/>
      <c r="F188" s="13"/>
      <c r="G188" s="14" t="str">
        <f>$G$187</f>
        <v>Trừ 10 điểm chưa CNTTSV</v>
      </c>
      <c r="H188" s="22" t="s">
        <v>191</v>
      </c>
    </row>
    <row r="189" ht="15.75" customHeight="1" spans="1:16" x14ac:dyDescent="0.25">
      <c r="A189" s="12">
        <f>_xlfn.AGGREGATE(3,3,$B$9:B189)</f>
        <v>163</v>
      </c>
      <c r="B189" s="12">
        <v>217060081</v>
      </c>
      <c r="C189" s="12" t="s">
        <v>243</v>
      </c>
      <c r="D189" s="12" t="s">
        <v>244</v>
      </c>
      <c r="E189" s="13"/>
      <c r="F189" s="13"/>
      <c r="G189" s="14"/>
      <c r="H189" s="22" t="s">
        <v>191</v>
      </c>
    </row>
    <row r="190" ht="15.75" customHeight="1" spans="1:16" x14ac:dyDescent="0.25">
      <c r="A190" s="12">
        <f>_xlfn.AGGREGATE(3,3,$B$9:B190)</f>
        <v>164</v>
      </c>
      <c r="B190" s="12">
        <v>217060083</v>
      </c>
      <c r="C190" s="12" t="s">
        <v>245</v>
      </c>
      <c r="D190" s="12" t="s">
        <v>246</v>
      </c>
      <c r="E190" s="13"/>
      <c r="F190" s="13"/>
      <c r="G190" s="14" t="str">
        <f>$G$187</f>
        <v>Trừ 10 điểm chưa CNTTSV</v>
      </c>
      <c r="H190" s="22" t="s">
        <v>191</v>
      </c>
    </row>
    <row r="191" ht="15.75" customHeight="1" spans="1:16" x14ac:dyDescent="0.25">
      <c r="A191" s="12">
        <f>_xlfn.AGGREGATE(3,3,$B$9:B191)</f>
        <v>165</v>
      </c>
      <c r="B191" s="12">
        <v>217060084</v>
      </c>
      <c r="C191" s="12" t="s">
        <v>247</v>
      </c>
      <c r="D191" s="12" t="s">
        <v>84</v>
      </c>
      <c r="E191" s="13"/>
      <c r="F191" s="13"/>
      <c r="G191" s="14"/>
      <c r="H191" s="22" t="s">
        <v>191</v>
      </c>
    </row>
    <row r="192" ht="15.75" customHeight="1" spans="1:16" x14ac:dyDescent="0.25">
      <c r="A192" s="12">
        <f>_xlfn.AGGREGATE(3,3,$B$9:B192)</f>
        <v>166</v>
      </c>
      <c r="B192" s="12">
        <v>217060089</v>
      </c>
      <c r="C192" s="12" t="s">
        <v>135</v>
      </c>
      <c r="D192" s="12" t="s">
        <v>190</v>
      </c>
      <c r="E192" s="13"/>
      <c r="F192" s="13"/>
      <c r="G192" s="14" t="str">
        <f>$G$187</f>
        <v>Trừ 10 điểm chưa CNTTSV</v>
      </c>
      <c r="H192" s="22" t="s">
        <v>191</v>
      </c>
    </row>
    <row r="193" ht="15.75" customHeight="1" spans="1:16" x14ac:dyDescent="0.25">
      <c r="A193" s="12">
        <f>_xlfn.AGGREGATE(3,3,$B$9:B193)</f>
        <v>167</v>
      </c>
      <c r="B193" s="12">
        <v>217060090</v>
      </c>
      <c r="C193" s="12" t="s">
        <v>248</v>
      </c>
      <c r="D193" s="12" t="s">
        <v>15</v>
      </c>
      <c r="E193" s="13"/>
      <c r="F193" s="13"/>
      <c r="G193" s="14" t="str">
        <f>$G$168</f>
        <v>Trừ 10 điểm chưa CNTTSV</v>
      </c>
      <c r="H193" s="22" t="s">
        <v>191</v>
      </c>
    </row>
    <row r="194" ht="15.75" customHeight="1" spans="1:16" x14ac:dyDescent="0.25">
      <c r="A194" s="12">
        <f>_xlfn.AGGREGATE(3,3,$B$9:B194)</f>
        <v>168</v>
      </c>
      <c r="B194" s="12">
        <v>217060138</v>
      </c>
      <c r="C194" s="12" t="s">
        <v>249</v>
      </c>
      <c r="D194" s="12" t="s">
        <v>217</v>
      </c>
      <c r="E194" s="13"/>
      <c r="F194" s="13"/>
      <c r="G194" s="14"/>
      <c r="H194" s="22" t="s">
        <v>191</v>
      </c>
    </row>
    <row r="195" ht="15.75" customHeight="1" spans="1:16" x14ac:dyDescent="0.25">
      <c r="A195" s="12">
        <f>_xlfn.AGGREGATE(3,3,$B$9:B195)</f>
        <v>169</v>
      </c>
      <c r="B195" s="12">
        <v>217060186</v>
      </c>
      <c r="C195" s="12" t="s">
        <v>213</v>
      </c>
      <c r="D195" s="12" t="s">
        <v>50</v>
      </c>
      <c r="E195" s="13"/>
      <c r="F195" s="13"/>
      <c r="G195" s="14" t="str">
        <f>$G$168</f>
        <v>Trừ 10 điểm chưa CNTTSV</v>
      </c>
      <c r="H195" s="22" t="s">
        <v>191</v>
      </c>
    </row>
    <row r="196" ht="15.75" customHeight="1" spans="1:16" x14ac:dyDescent="0.25">
      <c r="A196" s="12">
        <f>_xlfn.AGGREGATE(3,3,$B$9:B196)</f>
        <v>170</v>
      </c>
      <c r="B196" s="12">
        <v>217010054</v>
      </c>
      <c r="C196" s="12" t="s">
        <v>250</v>
      </c>
      <c r="D196" s="12" t="s">
        <v>234</v>
      </c>
      <c r="E196" s="13"/>
      <c r="F196" s="13"/>
      <c r="G196" s="14"/>
      <c r="H196" s="22" t="s">
        <v>251</v>
      </c>
    </row>
    <row r="197" ht="15.75" customHeight="1" spans="1:16" x14ac:dyDescent="0.25">
      <c r="A197" s="12">
        <f>_xlfn.AGGREGATE(3,3,$B$9:B197)</f>
        <v>171</v>
      </c>
      <c r="B197" s="12">
        <v>217060041</v>
      </c>
      <c r="C197" s="12" t="s">
        <v>252</v>
      </c>
      <c r="D197" s="12" t="s">
        <v>253</v>
      </c>
      <c r="E197" s="13"/>
      <c r="F197" s="13"/>
      <c r="G197" s="14"/>
      <c r="H197" s="22" t="s">
        <v>251</v>
      </c>
    </row>
    <row r="198" ht="15.75" customHeight="1" spans="1:16" x14ac:dyDescent="0.25">
      <c r="A198" s="12">
        <f>_xlfn.AGGREGATE(3,3,$B$9:B198)</f>
        <v>172</v>
      </c>
      <c r="B198" s="12">
        <v>217060086</v>
      </c>
      <c r="C198" s="12" t="s">
        <v>254</v>
      </c>
      <c r="D198" s="12" t="s">
        <v>255</v>
      </c>
      <c r="E198" s="13"/>
      <c r="F198" s="13"/>
      <c r="G198" s="14"/>
      <c r="H198" s="22" t="s">
        <v>251</v>
      </c>
    </row>
    <row r="199" ht="15.75" customHeight="1" spans="1:16" x14ac:dyDescent="0.25">
      <c r="A199" s="12">
        <f>_xlfn.AGGREGATE(3,3,$B$9:B199)</f>
        <v>173</v>
      </c>
      <c r="B199" s="12">
        <v>217060087</v>
      </c>
      <c r="C199" s="12" t="s">
        <v>81</v>
      </c>
      <c r="D199" s="12" t="s">
        <v>256</v>
      </c>
      <c r="E199" s="13"/>
      <c r="F199" s="13"/>
      <c r="G199" s="14"/>
      <c r="H199" s="22" t="s">
        <v>251</v>
      </c>
    </row>
    <row r="200" ht="15.75" customHeight="1" spans="1:16" x14ac:dyDescent="0.25">
      <c r="A200" s="12">
        <f>_xlfn.AGGREGATE(3,3,$B$9:B200)</f>
        <v>174</v>
      </c>
      <c r="B200" s="12">
        <v>217060088</v>
      </c>
      <c r="C200" s="12" t="s">
        <v>257</v>
      </c>
      <c r="D200" s="12" t="s">
        <v>258</v>
      </c>
      <c r="E200" s="13"/>
      <c r="F200" s="13"/>
      <c r="G200" s="14"/>
      <c r="H200" s="22" t="s">
        <v>251</v>
      </c>
    </row>
    <row r="201" ht="15.75" customHeight="1" spans="1:16" x14ac:dyDescent="0.25">
      <c r="A201" s="12">
        <f>_xlfn.AGGREGATE(3,3,$B$9:B201)</f>
        <v>175</v>
      </c>
      <c r="B201" s="12">
        <v>217060091</v>
      </c>
      <c r="C201" s="12" t="s">
        <v>259</v>
      </c>
      <c r="D201" s="12" t="s">
        <v>90</v>
      </c>
      <c r="E201" s="13"/>
      <c r="F201" s="13"/>
      <c r="G201" s="14"/>
      <c r="H201" s="22" t="s">
        <v>251</v>
      </c>
    </row>
    <row r="202" ht="15.75" customHeight="1" spans="1:16" x14ac:dyDescent="0.25">
      <c r="A202" s="12">
        <f>_xlfn.AGGREGATE(3,3,$B$9:B202)</f>
        <v>176</v>
      </c>
      <c r="B202" s="12">
        <v>217060092</v>
      </c>
      <c r="C202" s="12" t="s">
        <v>260</v>
      </c>
      <c r="D202" s="12" t="s">
        <v>261</v>
      </c>
      <c r="E202" s="13"/>
      <c r="F202" s="13"/>
      <c r="G202" s="14"/>
      <c r="H202" s="22" t="s">
        <v>251</v>
      </c>
    </row>
    <row r="203" ht="15.75" customHeight="1" spans="1:16" x14ac:dyDescent="0.25">
      <c r="A203" s="12">
        <f>_xlfn.AGGREGATE(3,3,$B$9:B203)</f>
        <v>177</v>
      </c>
      <c r="B203" s="12">
        <v>217060093</v>
      </c>
      <c r="C203" s="12" t="s">
        <v>262</v>
      </c>
      <c r="D203" s="12" t="s">
        <v>116</v>
      </c>
      <c r="E203" s="13"/>
      <c r="F203" s="13"/>
      <c r="G203" s="14"/>
      <c r="H203" s="22" t="s">
        <v>251</v>
      </c>
    </row>
    <row r="204" ht="15.75" customHeight="1" spans="1:16" x14ac:dyDescent="0.25">
      <c r="A204" s="12">
        <f>_xlfn.AGGREGATE(3,3,$B$9:B204)</f>
        <v>178</v>
      </c>
      <c r="B204" s="12">
        <v>217060094</v>
      </c>
      <c r="C204" s="12" t="s">
        <v>263</v>
      </c>
      <c r="D204" s="12" t="s">
        <v>264</v>
      </c>
      <c r="E204" s="13"/>
      <c r="F204" s="13"/>
      <c r="G204" s="14"/>
      <c r="H204" s="22" t="s">
        <v>251</v>
      </c>
    </row>
    <row r="205" ht="15.75" customHeight="1" spans="1:16" x14ac:dyDescent="0.25">
      <c r="A205" s="12">
        <f>_xlfn.AGGREGATE(3,3,$B$9:B205)</f>
        <v>179</v>
      </c>
      <c r="B205" s="12">
        <v>217060095</v>
      </c>
      <c r="C205" s="12" t="s">
        <v>265</v>
      </c>
      <c r="D205" s="12" t="s">
        <v>64</v>
      </c>
      <c r="E205" s="13"/>
      <c r="F205" s="13"/>
      <c r="G205" s="14" t="str">
        <f>$G$195</f>
        <v>Trừ 10 điểm chưa CNTTSV</v>
      </c>
      <c r="H205" s="22" t="s">
        <v>251</v>
      </c>
    </row>
    <row r="206" ht="15.75" customHeight="1" spans="1:16" x14ac:dyDescent="0.25">
      <c r="A206" s="12">
        <f>_xlfn.AGGREGATE(3,3,$B$9:B206)</f>
        <v>180</v>
      </c>
      <c r="B206" s="12">
        <v>217060096</v>
      </c>
      <c r="C206" s="12" t="s">
        <v>266</v>
      </c>
      <c r="D206" s="12" t="s">
        <v>267</v>
      </c>
      <c r="E206" s="13"/>
      <c r="F206" s="13"/>
      <c r="G206" s="14"/>
      <c r="H206" s="22" t="s">
        <v>251</v>
      </c>
    </row>
    <row r="207" ht="15.75" customHeight="1" spans="1:16" x14ac:dyDescent="0.25">
      <c r="A207" s="12">
        <f>_xlfn.AGGREGATE(3,3,$B$9:B207)</f>
        <v>181</v>
      </c>
      <c r="B207" s="12">
        <v>217060097</v>
      </c>
      <c r="C207" s="12" t="s">
        <v>53</v>
      </c>
      <c r="D207" s="12" t="s">
        <v>209</v>
      </c>
      <c r="E207" s="13"/>
      <c r="F207" s="13"/>
      <c r="G207" s="14" t="str">
        <f>$G$195</f>
        <v>Trừ 10 điểm chưa CNTTSV</v>
      </c>
      <c r="H207" s="22" t="s">
        <v>251</v>
      </c>
    </row>
    <row r="208" ht="15.75" customHeight="1" spans="1:16" x14ac:dyDescent="0.25">
      <c r="A208" s="12">
        <f>_xlfn.AGGREGATE(3,3,$B$9:B208)</f>
        <v>182</v>
      </c>
      <c r="B208" s="12">
        <v>217060098</v>
      </c>
      <c r="C208" s="12" t="s">
        <v>268</v>
      </c>
      <c r="D208" s="12" t="s">
        <v>66</v>
      </c>
      <c r="E208" s="13"/>
      <c r="F208" s="13"/>
      <c r="G208" s="14"/>
      <c r="H208" s="22" t="s">
        <v>251</v>
      </c>
    </row>
    <row r="209" ht="15.75" customHeight="1" spans="1:16" x14ac:dyDescent="0.25">
      <c r="A209" s="12">
        <f>_xlfn.AGGREGATE(3,3,$B$9:B209)</f>
        <v>183</v>
      </c>
      <c r="B209" s="12">
        <v>217060099</v>
      </c>
      <c r="C209" s="12" t="s">
        <v>269</v>
      </c>
      <c r="D209" s="12" t="s">
        <v>56</v>
      </c>
      <c r="E209" s="13"/>
      <c r="F209" s="13"/>
      <c r="G209" s="14" t="str">
        <f>$G$195</f>
        <v>Trừ 10 điểm chưa CNTTSV</v>
      </c>
      <c r="H209" s="22" t="s">
        <v>251</v>
      </c>
    </row>
    <row r="210" ht="15.75" customHeight="1" spans="1:16" x14ac:dyDescent="0.25">
      <c r="A210" s="12">
        <f>_xlfn.AGGREGATE(3,3,$B$9:B210)</f>
        <v>184</v>
      </c>
      <c r="B210" s="12">
        <v>217060101</v>
      </c>
      <c r="C210" s="12" t="s">
        <v>270</v>
      </c>
      <c r="D210" s="12" t="s">
        <v>271</v>
      </c>
      <c r="E210" s="13"/>
      <c r="F210" s="13"/>
      <c r="G210" s="14"/>
      <c r="H210" s="22" t="s">
        <v>251</v>
      </c>
    </row>
    <row r="211" ht="15.75" customHeight="1" spans="1:16" x14ac:dyDescent="0.25">
      <c r="A211" s="12">
        <f>_xlfn.AGGREGATE(3,3,$B$9:B211)</f>
        <v>185</v>
      </c>
      <c r="B211" s="12">
        <v>217060102</v>
      </c>
      <c r="C211" s="12" t="s">
        <v>272</v>
      </c>
      <c r="D211" s="12" t="s">
        <v>253</v>
      </c>
      <c r="E211" s="13"/>
      <c r="F211" s="13"/>
      <c r="G211" s="14"/>
      <c r="H211" s="22" t="s">
        <v>251</v>
      </c>
    </row>
    <row r="212" ht="15.75" customHeight="1" spans="1:16" x14ac:dyDescent="0.25">
      <c r="A212" s="12">
        <f>_xlfn.AGGREGATE(3,3,$B$9:B212)</f>
        <v>186</v>
      </c>
      <c r="B212" s="12">
        <v>217060103</v>
      </c>
      <c r="C212" s="12" t="s">
        <v>273</v>
      </c>
      <c r="D212" s="12" t="s">
        <v>274</v>
      </c>
      <c r="E212" s="13"/>
      <c r="F212" s="13"/>
      <c r="G212" s="14" t="str">
        <f>$G$195</f>
        <v>Trừ 10 điểm chưa CNTTSV</v>
      </c>
      <c r="H212" s="22" t="s">
        <v>251</v>
      </c>
    </row>
    <row r="213" ht="15.75" customHeight="1" spans="1:16" x14ac:dyDescent="0.25">
      <c r="A213" s="12">
        <f>_xlfn.AGGREGATE(3,3,$B$9:B213)</f>
        <v>187</v>
      </c>
      <c r="B213" s="12">
        <v>217060104</v>
      </c>
      <c r="C213" s="12" t="s">
        <v>275</v>
      </c>
      <c r="D213" s="12" t="s">
        <v>276</v>
      </c>
      <c r="E213" s="13"/>
      <c r="F213" s="13"/>
      <c r="G213" s="14"/>
      <c r="H213" s="22" t="s">
        <v>251</v>
      </c>
    </row>
    <row r="214" ht="15.75" customHeight="1" spans="1:16" x14ac:dyDescent="0.25">
      <c r="A214" s="12">
        <f>_xlfn.AGGREGATE(3,3,$B$9:B214)</f>
        <v>188</v>
      </c>
      <c r="B214" s="12">
        <v>217060106</v>
      </c>
      <c r="C214" s="12" t="s">
        <v>277</v>
      </c>
      <c r="D214" s="12" t="s">
        <v>70</v>
      </c>
      <c r="E214" s="13"/>
      <c r="F214" s="13"/>
      <c r="G214" s="14" t="str">
        <f>$G$195</f>
        <v>Trừ 10 điểm chưa CNTTSV</v>
      </c>
      <c r="H214" s="22" t="s">
        <v>251</v>
      </c>
    </row>
    <row r="215" ht="15.75" customHeight="1" spans="1:16" x14ac:dyDescent="0.25">
      <c r="A215" s="12">
        <f>_xlfn.AGGREGATE(3,3,$B$9:B215)</f>
        <v>189</v>
      </c>
      <c r="B215" s="12">
        <v>217060107</v>
      </c>
      <c r="C215" s="12" t="s">
        <v>278</v>
      </c>
      <c r="D215" s="12" t="s">
        <v>72</v>
      </c>
      <c r="E215" s="13"/>
      <c r="F215" s="13"/>
      <c r="G215" s="14"/>
      <c r="H215" s="22" t="s">
        <v>251</v>
      </c>
    </row>
    <row r="216" ht="15.75" customHeight="1" spans="1:16" x14ac:dyDescent="0.25">
      <c r="A216" s="12">
        <f>_xlfn.AGGREGATE(3,3,$B$9:B216)</f>
        <v>190</v>
      </c>
      <c r="B216" s="12">
        <v>217060108</v>
      </c>
      <c r="C216" s="12" t="s">
        <v>279</v>
      </c>
      <c r="D216" s="12" t="s">
        <v>15</v>
      </c>
      <c r="E216" s="13"/>
      <c r="F216" s="13"/>
      <c r="G216" s="14" t="str">
        <f>$G$195</f>
        <v>Trừ 10 điểm chưa CNTTSV</v>
      </c>
      <c r="H216" s="22" t="s">
        <v>251</v>
      </c>
    </row>
    <row r="217" ht="15.75" customHeight="1" spans="1:16" x14ac:dyDescent="0.25">
      <c r="A217" s="12">
        <f>_xlfn.AGGREGATE(3,3,$B$9:B217)</f>
        <v>191</v>
      </c>
      <c r="B217" s="12">
        <v>217060109</v>
      </c>
      <c r="C217" s="12" t="s">
        <v>280</v>
      </c>
      <c r="D217" s="12" t="s">
        <v>281</v>
      </c>
      <c r="E217" s="13"/>
      <c r="F217" s="13"/>
      <c r="G217" s="14"/>
      <c r="H217" s="22" t="s">
        <v>251</v>
      </c>
    </row>
    <row r="218" ht="15.75" customHeight="1" spans="1:16" x14ac:dyDescent="0.25">
      <c r="A218" s="12">
        <f>_xlfn.AGGREGATE(3,3,$B$9:B218)</f>
        <v>192</v>
      </c>
      <c r="B218" s="12">
        <v>217060110</v>
      </c>
      <c r="C218" s="12" t="s">
        <v>282</v>
      </c>
      <c r="D218" s="12" t="s">
        <v>34</v>
      </c>
      <c r="E218" s="13"/>
      <c r="F218" s="13"/>
      <c r="G218" s="14" t="str">
        <f>$G$195</f>
        <v>Trừ 10 điểm chưa CNTTSV</v>
      </c>
      <c r="H218" s="22" t="s">
        <v>251</v>
      </c>
    </row>
    <row r="219" ht="15.75" customHeight="1" spans="1:16" x14ac:dyDescent="0.25">
      <c r="A219" s="12">
        <f>_xlfn.AGGREGATE(3,3,$B$9:B219)</f>
        <v>193</v>
      </c>
      <c r="B219" s="12">
        <v>217060111</v>
      </c>
      <c r="C219" s="12" t="s">
        <v>254</v>
      </c>
      <c r="D219" s="12" t="s">
        <v>66</v>
      </c>
      <c r="E219" s="13"/>
      <c r="F219" s="13"/>
      <c r="G219" s="14"/>
      <c r="H219" s="22" t="s">
        <v>251</v>
      </c>
    </row>
    <row r="220" ht="15.75" customHeight="1" spans="1:16" x14ac:dyDescent="0.25">
      <c r="A220" s="12">
        <f>_xlfn.AGGREGATE(3,3,$B$9:B220)</f>
        <v>194</v>
      </c>
      <c r="B220" s="12">
        <v>217060113</v>
      </c>
      <c r="C220" s="12" t="s">
        <v>283</v>
      </c>
      <c r="D220" s="12" t="s">
        <v>70</v>
      </c>
      <c r="E220" s="13"/>
      <c r="F220" s="13"/>
      <c r="G220" s="14" t="str">
        <f>$G$195</f>
        <v>Trừ 10 điểm chưa CNTTSV</v>
      </c>
      <c r="H220" s="22" t="s">
        <v>251</v>
      </c>
    </row>
    <row r="221" ht="15.75" customHeight="1" spans="1:16" x14ac:dyDescent="0.25">
      <c r="A221" s="12">
        <f>_xlfn.AGGREGATE(3,3,$B$9:B221)</f>
        <v>195</v>
      </c>
      <c r="B221" s="12">
        <v>217060114</v>
      </c>
      <c r="C221" s="12" t="s">
        <v>284</v>
      </c>
      <c r="D221" s="12" t="s">
        <v>165</v>
      </c>
      <c r="E221" s="13"/>
      <c r="F221" s="13"/>
      <c r="G221" s="14"/>
      <c r="H221" s="22" t="s">
        <v>251</v>
      </c>
    </row>
    <row r="222" ht="15.75" customHeight="1" spans="1:16" x14ac:dyDescent="0.25">
      <c r="A222" s="12">
        <f>_xlfn.AGGREGATE(3,3,$B$9:B222)</f>
        <v>196</v>
      </c>
      <c r="B222" s="12">
        <v>217060115</v>
      </c>
      <c r="C222" s="12" t="s">
        <v>49</v>
      </c>
      <c r="D222" s="12" t="s">
        <v>285</v>
      </c>
      <c r="E222" s="13"/>
      <c r="F222" s="13"/>
      <c r="G222" s="14"/>
      <c r="H222" s="22" t="s">
        <v>251</v>
      </c>
    </row>
    <row r="223" ht="15.75" customHeight="1" spans="1:16" x14ac:dyDescent="0.25">
      <c r="A223" s="12">
        <f>_xlfn.AGGREGATE(3,3,$B$9:B223)</f>
        <v>197</v>
      </c>
      <c r="B223" s="12">
        <v>217060116</v>
      </c>
      <c r="C223" s="12" t="s">
        <v>286</v>
      </c>
      <c r="D223" s="12" t="s">
        <v>287</v>
      </c>
      <c r="E223" s="13"/>
      <c r="F223" s="13"/>
      <c r="G223" s="14"/>
      <c r="H223" s="22" t="s">
        <v>251</v>
      </c>
    </row>
    <row r="224" ht="15.75" customHeight="1" spans="1:16" x14ac:dyDescent="0.25">
      <c r="A224" s="12">
        <f>_xlfn.AGGREGATE(3,3,$B$9:B224)</f>
        <v>198</v>
      </c>
      <c r="B224" s="12">
        <v>217060117</v>
      </c>
      <c r="C224" s="12" t="s">
        <v>288</v>
      </c>
      <c r="D224" s="12" t="s">
        <v>289</v>
      </c>
      <c r="E224" s="13"/>
      <c r="F224" s="13"/>
      <c r="G224" s="14"/>
      <c r="H224" s="22" t="s">
        <v>251</v>
      </c>
    </row>
    <row r="225" ht="15.75" customHeight="1" spans="1:16" x14ac:dyDescent="0.25">
      <c r="A225" s="12">
        <f>_xlfn.AGGREGATE(3,3,$B$9:B225)</f>
        <v>199</v>
      </c>
      <c r="B225" s="12">
        <v>217060118</v>
      </c>
      <c r="C225" s="12" t="s">
        <v>290</v>
      </c>
      <c r="D225" s="12" t="s">
        <v>291</v>
      </c>
      <c r="E225" s="13"/>
      <c r="F225" s="13"/>
      <c r="G225" s="14"/>
      <c r="H225" s="22" t="s">
        <v>251</v>
      </c>
    </row>
    <row r="226" ht="15.75" customHeight="1" spans="1:16" x14ac:dyDescent="0.25">
      <c r="A226" s="12">
        <f>_xlfn.AGGREGATE(3,3,$B$9:B226)</f>
        <v>200</v>
      </c>
      <c r="B226" s="12">
        <v>217060119</v>
      </c>
      <c r="C226" s="12" t="s">
        <v>292</v>
      </c>
      <c r="D226" s="12" t="s">
        <v>293</v>
      </c>
      <c r="E226" s="13"/>
      <c r="F226" s="13"/>
      <c r="G226" s="14"/>
      <c r="H226" s="22" t="s">
        <v>251</v>
      </c>
    </row>
    <row r="227" ht="15.75" customHeight="1" spans="1:16" x14ac:dyDescent="0.25">
      <c r="A227" s="12">
        <f>_xlfn.AGGREGATE(3,3,$B$9:B227)</f>
        <v>201</v>
      </c>
      <c r="B227" s="12">
        <v>217060120</v>
      </c>
      <c r="C227" s="12" t="s">
        <v>294</v>
      </c>
      <c r="D227" s="12" t="s">
        <v>64</v>
      </c>
      <c r="E227" s="13"/>
      <c r="F227" s="13"/>
      <c r="G227" s="14" t="str">
        <f>$G$195</f>
        <v>Trừ 10 điểm chưa CNTTSV</v>
      </c>
      <c r="H227" s="22" t="s">
        <v>251</v>
      </c>
    </row>
    <row r="228" ht="15.75" customHeight="1" spans="1:16" x14ac:dyDescent="0.25">
      <c r="A228" s="12">
        <f>_xlfn.AGGREGATE(3,3,$B$9:B228)</f>
        <v>202</v>
      </c>
      <c r="B228" s="12">
        <v>217060121</v>
      </c>
      <c r="C228" s="12" t="s">
        <v>295</v>
      </c>
      <c r="D228" s="12" t="s">
        <v>70</v>
      </c>
      <c r="E228" s="13"/>
      <c r="F228" s="13"/>
      <c r="G228" s="14" t="str">
        <f>$G$195</f>
        <v>Trừ 10 điểm chưa CNTTSV</v>
      </c>
      <c r="H228" s="22" t="s">
        <v>251</v>
      </c>
    </row>
    <row r="229" ht="15.75" customHeight="1" spans="1:16" x14ac:dyDescent="0.25">
      <c r="A229" s="12">
        <f>_xlfn.AGGREGATE(3,3,$B$9:B229)</f>
        <v>203</v>
      </c>
      <c r="B229" s="12">
        <v>217060122</v>
      </c>
      <c r="C229" s="12" t="s">
        <v>296</v>
      </c>
      <c r="D229" s="12" t="s">
        <v>297</v>
      </c>
      <c r="E229" s="13"/>
      <c r="F229" s="13"/>
      <c r="G229" s="14"/>
      <c r="H229" s="22" t="s">
        <v>251</v>
      </c>
    </row>
    <row r="230" ht="15.75" customHeight="1" spans="1:16" x14ac:dyDescent="0.25">
      <c r="A230" s="12">
        <f>_xlfn.AGGREGATE(3,3,$B$9:B230)</f>
        <v>204</v>
      </c>
      <c r="B230" s="12">
        <v>217060124</v>
      </c>
      <c r="C230" s="12" t="s">
        <v>298</v>
      </c>
      <c r="D230" s="12" t="s">
        <v>299</v>
      </c>
      <c r="E230" s="13"/>
      <c r="F230" s="13"/>
      <c r="G230" s="14"/>
      <c r="H230" s="22" t="s">
        <v>251</v>
      </c>
    </row>
    <row r="231" ht="15.75" customHeight="1" spans="1:16" x14ac:dyDescent="0.25">
      <c r="A231" s="12">
        <f>_xlfn.AGGREGATE(3,3,$B$9:B231)</f>
        <v>205</v>
      </c>
      <c r="B231" s="12">
        <v>217060125</v>
      </c>
      <c r="C231" s="12" t="s">
        <v>300</v>
      </c>
      <c r="D231" s="12" t="s">
        <v>301</v>
      </c>
      <c r="E231" s="13"/>
      <c r="F231" s="13"/>
      <c r="G231" s="14"/>
      <c r="H231" s="22" t="s">
        <v>251</v>
      </c>
    </row>
    <row r="232" ht="15.75" customHeight="1" spans="1:16" x14ac:dyDescent="0.25">
      <c r="A232" s="12">
        <f>_xlfn.AGGREGATE(3,3,$B$9:B232)</f>
        <v>206</v>
      </c>
      <c r="B232" s="12">
        <v>217060126</v>
      </c>
      <c r="C232" s="12" t="s">
        <v>302</v>
      </c>
      <c r="D232" s="12" t="s">
        <v>206</v>
      </c>
      <c r="E232" s="13"/>
      <c r="F232" s="13"/>
      <c r="G232" s="14"/>
      <c r="H232" s="22" t="s">
        <v>251</v>
      </c>
    </row>
    <row r="233" ht="15.75" customHeight="1" spans="1:16" x14ac:dyDescent="0.25">
      <c r="A233" s="12">
        <f>_xlfn.AGGREGATE(3,3,$B$9:B233)</f>
        <v>207</v>
      </c>
      <c r="B233" s="12">
        <v>217060128</v>
      </c>
      <c r="C233" s="12" t="s">
        <v>69</v>
      </c>
      <c r="D233" s="12" t="s">
        <v>30</v>
      </c>
      <c r="E233" s="13"/>
      <c r="F233" s="13"/>
      <c r="G233" s="14"/>
      <c r="H233" s="22" t="s">
        <v>251</v>
      </c>
    </row>
    <row r="234" ht="15.75" customHeight="1" spans="1:16" x14ac:dyDescent="0.25">
      <c r="A234" s="12">
        <f>_xlfn.AGGREGATE(3,3,$B$9:B234)</f>
        <v>208</v>
      </c>
      <c r="B234" s="12">
        <v>217060130</v>
      </c>
      <c r="C234" s="12" t="s">
        <v>303</v>
      </c>
      <c r="D234" s="12" t="s">
        <v>62</v>
      </c>
      <c r="E234" s="13"/>
      <c r="F234" s="13"/>
      <c r="G234" s="14" t="str">
        <f>$G$195</f>
        <v>Trừ 10 điểm chưa CNTTSV</v>
      </c>
      <c r="H234" s="22" t="s">
        <v>251</v>
      </c>
    </row>
    <row r="235" ht="15.75" customHeight="1" spans="1:16" x14ac:dyDescent="0.25">
      <c r="A235" s="12">
        <f>_xlfn.AGGREGATE(3,3,$B$9:B235)</f>
        <v>209</v>
      </c>
      <c r="B235" s="12">
        <v>217060133</v>
      </c>
      <c r="C235" s="12" t="s">
        <v>304</v>
      </c>
      <c r="D235" s="12" t="s">
        <v>158</v>
      </c>
      <c r="E235" s="13"/>
      <c r="F235" s="13"/>
      <c r="G235" s="14"/>
      <c r="H235" s="22" t="s">
        <v>251</v>
      </c>
    </row>
    <row r="236" ht="15.75" customHeight="1" spans="1:16" x14ac:dyDescent="0.25">
      <c r="A236" s="12">
        <f>_xlfn.AGGREGATE(3,3,$B$9:B236)</f>
        <v>210</v>
      </c>
      <c r="B236" s="12">
        <v>217060134</v>
      </c>
      <c r="C236" s="12" t="s">
        <v>305</v>
      </c>
      <c r="D236" s="12" t="s">
        <v>15</v>
      </c>
      <c r="E236" s="13"/>
      <c r="F236" s="13"/>
      <c r="G236" s="14"/>
      <c r="H236" s="22" t="s">
        <v>251</v>
      </c>
    </row>
    <row r="237" ht="15.75" customHeight="1" spans="1:16" x14ac:dyDescent="0.25">
      <c r="A237" s="12">
        <f>_xlfn.AGGREGATE(3,3,$B$9:B237)</f>
        <v>211</v>
      </c>
      <c r="B237" s="12">
        <v>217060135</v>
      </c>
      <c r="C237" s="12" t="s">
        <v>306</v>
      </c>
      <c r="D237" s="12" t="s">
        <v>281</v>
      </c>
      <c r="E237" s="13"/>
      <c r="F237" s="13"/>
      <c r="G237" s="14" t="str">
        <f>$G$195</f>
        <v>Trừ 10 điểm chưa CNTTSV</v>
      </c>
      <c r="H237" s="22" t="s">
        <v>251</v>
      </c>
    </row>
    <row r="238" ht="15.75" customHeight="1" spans="1:16" x14ac:dyDescent="0.25">
      <c r="A238" s="12">
        <f>_xlfn.AGGREGATE(3,3,$B$9:B238)</f>
        <v>212</v>
      </c>
      <c r="B238" s="12">
        <v>217060136</v>
      </c>
      <c r="C238" s="12" t="s">
        <v>307</v>
      </c>
      <c r="D238" s="12" t="s">
        <v>308</v>
      </c>
      <c r="E238" s="13"/>
      <c r="F238" s="13"/>
      <c r="G238" s="14"/>
      <c r="H238" s="22" t="s">
        <v>251</v>
      </c>
    </row>
    <row r="239" ht="15.75" customHeight="1" spans="1:16" x14ac:dyDescent="0.25">
      <c r="A239" s="12">
        <f>_xlfn.AGGREGATE(3,3,$B$9:B239)</f>
        <v>213</v>
      </c>
      <c r="B239" s="12">
        <v>217060139</v>
      </c>
      <c r="C239" s="12" t="s">
        <v>81</v>
      </c>
      <c r="D239" s="12" t="s">
        <v>66</v>
      </c>
      <c r="E239" s="13"/>
      <c r="F239" s="13"/>
      <c r="G239" s="14"/>
      <c r="H239" s="22" t="s">
        <v>251</v>
      </c>
    </row>
    <row r="240" ht="15.75" customHeight="1" spans="1:16" x14ac:dyDescent="0.25">
      <c r="A240" s="12">
        <f>_xlfn.AGGREGATE(3,3,$B$9:B240)</f>
        <v>214</v>
      </c>
      <c r="B240" s="12">
        <v>217060140</v>
      </c>
      <c r="C240" s="12" t="s">
        <v>309</v>
      </c>
      <c r="D240" s="12" t="s">
        <v>310</v>
      </c>
      <c r="E240" s="13"/>
      <c r="F240" s="13"/>
      <c r="G240" s="14"/>
      <c r="H240" s="22" t="s">
        <v>251</v>
      </c>
    </row>
    <row r="241" ht="15.75" customHeight="1" spans="1:16" x14ac:dyDescent="0.25">
      <c r="A241" s="12">
        <f>_xlfn.AGGREGATE(3,3,$B$9:B241)</f>
        <v>215</v>
      </c>
      <c r="B241" s="12">
        <v>217060141</v>
      </c>
      <c r="C241" s="12" t="s">
        <v>311</v>
      </c>
      <c r="D241" s="12" t="s">
        <v>28</v>
      </c>
      <c r="E241" s="13"/>
      <c r="F241" s="13"/>
      <c r="G241" s="14"/>
      <c r="H241" s="22" t="s">
        <v>251</v>
      </c>
    </row>
    <row r="242" ht="15.75" customHeight="1" spans="1:16" x14ac:dyDescent="0.25">
      <c r="A242" s="12">
        <f>_xlfn.AGGREGATE(3,3,$B$9:B242)</f>
        <v>216</v>
      </c>
      <c r="B242" s="12">
        <v>217060142</v>
      </c>
      <c r="C242" s="12" t="s">
        <v>312</v>
      </c>
      <c r="D242" s="12" t="s">
        <v>58</v>
      </c>
      <c r="E242" s="13"/>
      <c r="F242" s="13"/>
      <c r="G242" s="14" t="str">
        <f>$G$195</f>
        <v>Trừ 10 điểm chưa CNTTSV</v>
      </c>
      <c r="H242" s="22" t="s">
        <v>251</v>
      </c>
    </row>
    <row r="243" ht="15.75" customHeight="1" spans="1:16" x14ac:dyDescent="0.25">
      <c r="A243" s="12">
        <f>_xlfn.AGGREGATE(3,3,$B$9:B243)</f>
        <v>217</v>
      </c>
      <c r="B243" s="12">
        <v>217060143</v>
      </c>
      <c r="C243" s="12" t="s">
        <v>313</v>
      </c>
      <c r="D243" s="12" t="s">
        <v>314</v>
      </c>
      <c r="E243" s="13"/>
      <c r="F243" s="13"/>
      <c r="G243" s="14"/>
      <c r="H243" s="22" t="s">
        <v>251</v>
      </c>
    </row>
    <row r="244" ht="15.75" customHeight="1" spans="1:16" x14ac:dyDescent="0.25">
      <c r="A244" s="12">
        <f>_xlfn.AGGREGATE(3,3,$B$9:B244)</f>
        <v>218</v>
      </c>
      <c r="B244" s="12">
        <v>217060144</v>
      </c>
      <c r="C244" s="12" t="s">
        <v>315</v>
      </c>
      <c r="D244" s="12" t="s">
        <v>180</v>
      </c>
      <c r="E244" s="13"/>
      <c r="F244" s="13"/>
      <c r="G244" s="14"/>
      <c r="H244" s="22" t="s">
        <v>251</v>
      </c>
    </row>
    <row r="245" ht="15.75" customHeight="1" spans="1:16" x14ac:dyDescent="0.25">
      <c r="A245" s="12">
        <f>_xlfn.AGGREGATE(3,3,$B$9:B245)</f>
        <v>219</v>
      </c>
      <c r="B245" s="12">
        <v>217060145</v>
      </c>
      <c r="C245" s="12" t="s">
        <v>230</v>
      </c>
      <c r="D245" s="12" t="s">
        <v>204</v>
      </c>
      <c r="E245" s="13"/>
      <c r="F245" s="13"/>
      <c r="G245" s="14"/>
      <c r="H245" s="22" t="s">
        <v>251</v>
      </c>
    </row>
    <row r="246" ht="15.75" customHeight="1" spans="1:16" x14ac:dyDescent="0.25">
      <c r="A246" s="12">
        <f>_xlfn.AGGREGATE(3,3,$B$9:B246)</f>
        <v>220</v>
      </c>
      <c r="B246" s="12">
        <v>217060146</v>
      </c>
      <c r="C246" s="12" t="s">
        <v>316</v>
      </c>
      <c r="D246" s="12" t="s">
        <v>234</v>
      </c>
      <c r="E246" s="13"/>
      <c r="F246" s="13"/>
      <c r="G246" s="14"/>
      <c r="H246" s="22" t="s">
        <v>251</v>
      </c>
    </row>
    <row r="247" ht="15.75" customHeight="1" spans="1:16" x14ac:dyDescent="0.25">
      <c r="A247" s="12">
        <f>_xlfn.AGGREGATE(3,3,$B$9:B247)</f>
        <v>221</v>
      </c>
      <c r="B247" s="12">
        <v>217060148</v>
      </c>
      <c r="C247" s="12" t="s">
        <v>228</v>
      </c>
      <c r="D247" s="12" t="s">
        <v>18</v>
      </c>
      <c r="E247" s="13"/>
      <c r="F247" s="13"/>
      <c r="G247" s="14"/>
      <c r="H247" s="22" t="s">
        <v>251</v>
      </c>
    </row>
    <row r="248" ht="15.75" customHeight="1" spans="1:16" x14ac:dyDescent="0.25">
      <c r="A248" s="12">
        <f>_xlfn.AGGREGATE(3,3,$B$9:B248)</f>
        <v>222</v>
      </c>
      <c r="B248" s="12">
        <v>217060149</v>
      </c>
      <c r="C248" s="12" t="s">
        <v>317</v>
      </c>
      <c r="D248" s="12" t="s">
        <v>318</v>
      </c>
      <c r="E248" s="13"/>
      <c r="F248" s="13"/>
      <c r="G248" s="14" t="str">
        <f>$G$195</f>
        <v>Trừ 10 điểm chưa CNTTSV</v>
      </c>
      <c r="H248" s="22" t="s">
        <v>251</v>
      </c>
    </row>
    <row r="249" ht="15.75" customHeight="1" spans="1:16" x14ac:dyDescent="0.25">
      <c r="A249" s="12">
        <f>_xlfn.AGGREGATE(3,3,$B$9:B249)</f>
        <v>223</v>
      </c>
      <c r="B249" s="12">
        <v>217060150</v>
      </c>
      <c r="C249" s="12" t="s">
        <v>319</v>
      </c>
      <c r="D249" s="12" t="s">
        <v>116</v>
      </c>
      <c r="E249" s="13"/>
      <c r="F249" s="13"/>
      <c r="G249" s="14" t="str">
        <f>$G$195</f>
        <v>Trừ 10 điểm chưa CNTTSV</v>
      </c>
      <c r="H249" s="22" t="s">
        <v>251</v>
      </c>
    </row>
    <row r="250" ht="15.75" customHeight="1" spans="1:16" x14ac:dyDescent="0.25">
      <c r="A250" s="12">
        <f>_xlfn.AGGREGATE(3,3,$B$9:B250)</f>
        <v>224</v>
      </c>
      <c r="B250" s="12">
        <v>217060151</v>
      </c>
      <c r="C250" s="12" t="s">
        <v>320</v>
      </c>
      <c r="D250" s="12" t="s">
        <v>321</v>
      </c>
      <c r="E250" s="13"/>
      <c r="F250" s="13"/>
      <c r="G250" s="14"/>
      <c r="H250" s="22" t="s">
        <v>251</v>
      </c>
    </row>
    <row r="251" ht="15.75" customHeight="1" spans="1:16" x14ac:dyDescent="0.25">
      <c r="A251" s="12">
        <f>_xlfn.AGGREGATE(3,3,$B$9:B251)</f>
        <v>225</v>
      </c>
      <c r="B251" s="12">
        <v>217060152</v>
      </c>
      <c r="C251" s="12" t="s">
        <v>322</v>
      </c>
      <c r="D251" s="12" t="s">
        <v>323</v>
      </c>
      <c r="E251" s="13"/>
      <c r="F251" s="13"/>
      <c r="G251" s="14"/>
      <c r="H251" s="22" t="s">
        <v>251</v>
      </c>
    </row>
    <row r="252" ht="15.75" customHeight="1" spans="1:16" x14ac:dyDescent="0.25">
      <c r="A252" s="12">
        <f>_xlfn.AGGREGATE(3,3,$B$9:B252)</f>
        <v>226</v>
      </c>
      <c r="B252" s="12">
        <v>217060153</v>
      </c>
      <c r="C252" s="12" t="s">
        <v>324</v>
      </c>
      <c r="D252" s="12" t="s">
        <v>62</v>
      </c>
      <c r="E252" s="13"/>
      <c r="F252" s="13"/>
      <c r="G252" s="14"/>
      <c r="H252" s="22" t="s">
        <v>251</v>
      </c>
    </row>
    <row r="253" ht="15.75" customHeight="1" spans="1:16" x14ac:dyDescent="0.25">
      <c r="A253" s="12">
        <f>_xlfn.AGGREGATE(3,3,$B$9:B253)</f>
        <v>227</v>
      </c>
      <c r="B253" s="12">
        <v>217060154</v>
      </c>
      <c r="C253" s="12" t="s">
        <v>325</v>
      </c>
      <c r="D253" s="12" t="s">
        <v>326</v>
      </c>
      <c r="E253" s="13"/>
      <c r="F253" s="13"/>
      <c r="G253" s="14"/>
      <c r="H253" s="22" t="s">
        <v>251</v>
      </c>
    </row>
    <row r="254" ht="15.75" customHeight="1" spans="1:16" x14ac:dyDescent="0.25">
      <c r="A254" s="12">
        <f>_xlfn.AGGREGATE(3,3,$B$9:B254)</f>
        <v>228</v>
      </c>
      <c r="B254" s="12">
        <v>217060155</v>
      </c>
      <c r="C254" s="12" t="s">
        <v>327</v>
      </c>
      <c r="D254" s="12" t="s">
        <v>328</v>
      </c>
      <c r="E254" s="13"/>
      <c r="F254" s="13"/>
      <c r="G254" s="14"/>
      <c r="H254" s="22" t="s">
        <v>251</v>
      </c>
    </row>
    <row r="255" ht="15.75" customHeight="1" spans="1:16" x14ac:dyDescent="0.25">
      <c r="A255" s="12">
        <f>_xlfn.AGGREGATE(3,3,$B$9:B255)</f>
        <v>229</v>
      </c>
      <c r="B255" s="12">
        <v>217060156</v>
      </c>
      <c r="C255" s="12" t="s">
        <v>329</v>
      </c>
      <c r="D255" s="12" t="s">
        <v>15</v>
      </c>
      <c r="E255" s="13"/>
      <c r="F255" s="13"/>
      <c r="G255" s="14"/>
      <c r="H255" s="22" t="s">
        <v>251</v>
      </c>
    </row>
    <row r="256" ht="15.75" customHeight="1" spans="1:16" x14ac:dyDescent="0.25">
      <c r="A256" s="12">
        <f>_xlfn.AGGREGATE(3,3,$B$9:B256)</f>
        <v>230</v>
      </c>
      <c r="B256" s="12">
        <v>217060157</v>
      </c>
      <c r="C256" s="12" t="s">
        <v>330</v>
      </c>
      <c r="D256" s="12" t="s">
        <v>62</v>
      </c>
      <c r="E256" s="13"/>
      <c r="F256" s="13"/>
      <c r="G256" s="14"/>
      <c r="H256" s="22" t="s">
        <v>251</v>
      </c>
    </row>
    <row r="257" ht="15.75" customHeight="1" spans="1:16" x14ac:dyDescent="0.25">
      <c r="A257" s="12">
        <f>_xlfn.AGGREGATE(3,3,$B$9:B257)</f>
        <v>231</v>
      </c>
      <c r="B257" s="12">
        <v>217060158</v>
      </c>
      <c r="C257" s="12" t="s">
        <v>164</v>
      </c>
      <c r="D257" s="12" t="s">
        <v>331</v>
      </c>
      <c r="E257" s="13"/>
      <c r="F257" s="13"/>
      <c r="G257" s="14" t="str">
        <f>$G$195</f>
        <v>Trừ 10 điểm chưa CNTTSV</v>
      </c>
      <c r="H257" s="22" t="s">
        <v>251</v>
      </c>
    </row>
    <row r="258" ht="15.75" customHeight="1" spans="1:16" x14ac:dyDescent="0.25">
      <c r="A258" s="12">
        <f>_xlfn.AGGREGATE(3,3,$B$9:B258)</f>
        <v>232</v>
      </c>
      <c r="B258" s="12">
        <v>217060159</v>
      </c>
      <c r="C258" s="12" t="s">
        <v>228</v>
      </c>
      <c r="D258" s="12" t="s">
        <v>90</v>
      </c>
      <c r="E258" s="13"/>
      <c r="F258" s="13"/>
      <c r="G258" s="14"/>
      <c r="H258" s="22" t="s">
        <v>251</v>
      </c>
    </row>
    <row r="259" ht="15.75" customHeight="1" spans="1:16" x14ac:dyDescent="0.25">
      <c r="A259" s="12">
        <f>_xlfn.AGGREGATE(3,3,$B$9:B259)</f>
        <v>233</v>
      </c>
      <c r="B259" s="12">
        <v>217060160</v>
      </c>
      <c r="C259" s="12" t="s">
        <v>332</v>
      </c>
      <c r="D259" s="12" t="s">
        <v>70</v>
      </c>
      <c r="E259" s="13"/>
      <c r="F259" s="13"/>
      <c r="G259" s="14" t="str">
        <f>$G$195</f>
        <v>Trừ 10 điểm chưa CNTTSV</v>
      </c>
      <c r="H259" s="22" t="s">
        <v>251</v>
      </c>
    </row>
    <row r="260" ht="15.75" customHeight="1" spans="1:16" x14ac:dyDescent="0.25">
      <c r="A260" s="12">
        <f>_xlfn.AGGREGATE(3,3,$B$9:B260)</f>
        <v>234</v>
      </c>
      <c r="B260" s="12">
        <v>217060161</v>
      </c>
      <c r="C260" s="12" t="s">
        <v>333</v>
      </c>
      <c r="D260" s="12" t="s">
        <v>334</v>
      </c>
      <c r="E260" s="13"/>
      <c r="F260" s="13"/>
      <c r="G260" s="14"/>
      <c r="H260" s="22" t="s">
        <v>251</v>
      </c>
    </row>
    <row r="261" ht="15.75" customHeight="1" spans="1:16" x14ac:dyDescent="0.25">
      <c r="A261" s="12">
        <f>_xlfn.AGGREGATE(3,3,$B$9:B261)</f>
        <v>235</v>
      </c>
      <c r="B261" s="12">
        <v>217060166</v>
      </c>
      <c r="C261" s="12" t="s">
        <v>335</v>
      </c>
      <c r="D261" s="12" t="s">
        <v>62</v>
      </c>
      <c r="E261" s="13"/>
      <c r="F261" s="13"/>
      <c r="G261" s="14"/>
      <c r="H261" s="22" t="s">
        <v>251</v>
      </c>
    </row>
    <row r="262" ht="15.75" customHeight="1" spans="1:16" x14ac:dyDescent="0.25">
      <c r="A262" s="12">
        <f>_xlfn.AGGREGATE(3,3,$B$9:B262)</f>
        <v>236</v>
      </c>
      <c r="B262" s="12">
        <v>217060169</v>
      </c>
      <c r="C262" s="12" t="s">
        <v>23</v>
      </c>
      <c r="D262" s="12" t="s">
        <v>336</v>
      </c>
      <c r="E262" s="13"/>
      <c r="F262" s="13"/>
      <c r="G262" s="14"/>
      <c r="H262" s="22" t="s">
        <v>251</v>
      </c>
    </row>
    <row r="263" ht="15.75" customHeight="1" spans="1:16" x14ac:dyDescent="0.25">
      <c r="A263" s="12">
        <f>_xlfn.AGGREGATE(3,3,$B$9:B263)</f>
        <v>237</v>
      </c>
      <c r="B263" s="12">
        <v>217060170</v>
      </c>
      <c r="C263" s="12" t="s">
        <v>337</v>
      </c>
      <c r="D263" s="12" t="s">
        <v>196</v>
      </c>
      <c r="E263" s="13"/>
      <c r="F263" s="13"/>
      <c r="G263" s="14" t="str">
        <f>$G$195</f>
        <v>Trừ 10 điểm chưa CNTTSV</v>
      </c>
      <c r="H263" s="22" t="s">
        <v>251</v>
      </c>
    </row>
    <row r="264" ht="15.75" customHeight="1" spans="1:16" x14ac:dyDescent="0.25">
      <c r="A264" s="12">
        <f>_xlfn.AGGREGATE(3,3,$B$9:B264)</f>
        <v>238</v>
      </c>
      <c r="B264" s="12">
        <v>217060172</v>
      </c>
      <c r="C264" s="12" t="s">
        <v>337</v>
      </c>
      <c r="D264" s="12" t="s">
        <v>161</v>
      </c>
      <c r="E264" s="13"/>
      <c r="F264" s="13"/>
      <c r="G264" s="14"/>
      <c r="H264" s="22" t="s">
        <v>251</v>
      </c>
    </row>
    <row r="265" ht="15.75" customHeight="1" spans="1:16" x14ac:dyDescent="0.25">
      <c r="A265" s="12">
        <f>_xlfn.AGGREGATE(3,3,$B$9:B265)</f>
        <v>239</v>
      </c>
      <c r="B265" s="12">
        <v>217060174</v>
      </c>
      <c r="C265" s="12" t="s">
        <v>139</v>
      </c>
      <c r="D265" s="12" t="s">
        <v>126</v>
      </c>
      <c r="E265" s="13"/>
      <c r="F265" s="13"/>
      <c r="G265" s="14" t="str">
        <f>$G$195</f>
        <v>Trừ 10 điểm chưa CNTTSV</v>
      </c>
      <c r="H265" s="22" t="s">
        <v>251</v>
      </c>
    </row>
    <row r="266" ht="15.75" customHeight="1" spans="1:16" x14ac:dyDescent="0.25">
      <c r="A266" s="12">
        <f>_xlfn.AGGREGATE(3,3,$B$9:B266)</f>
        <v>240</v>
      </c>
      <c r="B266" s="12">
        <v>217060175</v>
      </c>
      <c r="C266" s="12" t="s">
        <v>210</v>
      </c>
      <c r="D266" s="12" t="s">
        <v>338</v>
      </c>
      <c r="E266" s="13"/>
      <c r="F266" s="13"/>
      <c r="G266" s="14" t="str">
        <f>$G$195</f>
        <v>Trừ 10 điểm chưa CNTTSV</v>
      </c>
      <c r="H266" s="22" t="s">
        <v>251</v>
      </c>
    </row>
    <row r="267" ht="15.75" customHeight="1" spans="1:16" x14ac:dyDescent="0.25">
      <c r="A267" s="12">
        <f>_xlfn.AGGREGATE(3,3,$B$9:B267)</f>
        <v>241</v>
      </c>
      <c r="B267" s="12">
        <v>217060176</v>
      </c>
      <c r="C267" s="12" t="s">
        <v>339</v>
      </c>
      <c r="D267" s="12" t="s">
        <v>340</v>
      </c>
      <c r="E267" s="13"/>
      <c r="F267" s="13"/>
      <c r="G267" s="14" t="str">
        <f>$G$195</f>
        <v>Trừ 10 điểm chưa CNTTSV</v>
      </c>
      <c r="H267" s="22" t="s">
        <v>251</v>
      </c>
    </row>
    <row r="268" ht="15.75" customHeight="1" spans="1:16" x14ac:dyDescent="0.25">
      <c r="A268" s="12">
        <f>_xlfn.AGGREGATE(3,3,$B$9:B268)</f>
        <v>242</v>
      </c>
      <c r="B268" s="12">
        <v>217060178</v>
      </c>
      <c r="C268" s="12" t="s">
        <v>341</v>
      </c>
      <c r="D268" s="12" t="s">
        <v>264</v>
      </c>
      <c r="E268" s="13"/>
      <c r="F268" s="13"/>
      <c r="G268" s="14"/>
      <c r="H268" s="22" t="s">
        <v>251</v>
      </c>
    </row>
    <row r="269" ht="15.75" customHeight="1" spans="1:16" x14ac:dyDescent="0.25">
      <c r="A269" s="12">
        <f>_xlfn.AGGREGATE(3,3,$B$9:B269)</f>
        <v>243</v>
      </c>
      <c r="B269" s="12">
        <v>217060179</v>
      </c>
      <c r="C269" s="12" t="s">
        <v>342</v>
      </c>
      <c r="D269" s="12" t="s">
        <v>107</v>
      </c>
      <c r="E269" s="13"/>
      <c r="F269" s="13"/>
      <c r="G269" s="14"/>
      <c r="H269" s="22" t="s">
        <v>251</v>
      </c>
    </row>
    <row r="270" ht="15.75" customHeight="1" spans="1:16" x14ac:dyDescent="0.25">
      <c r="A270" s="12">
        <f>_xlfn.AGGREGATE(3,3,$B$9:B270)</f>
        <v>244</v>
      </c>
      <c r="B270" s="12">
        <v>217060180</v>
      </c>
      <c r="C270" s="12" t="s">
        <v>343</v>
      </c>
      <c r="D270" s="12" t="s">
        <v>344</v>
      </c>
      <c r="E270" s="13"/>
      <c r="F270" s="13"/>
      <c r="G270" s="14" t="str">
        <f>$G$195</f>
        <v>Trừ 10 điểm chưa CNTTSV</v>
      </c>
      <c r="H270" s="22" t="s">
        <v>251</v>
      </c>
    </row>
    <row r="271" ht="15.75" customHeight="1" spans="1:16" x14ac:dyDescent="0.25">
      <c r="A271" s="12">
        <f>_xlfn.AGGREGATE(3,3,$B$9:B271)</f>
        <v>245</v>
      </c>
      <c r="B271" s="12">
        <v>217060183</v>
      </c>
      <c r="C271" s="12" t="s">
        <v>280</v>
      </c>
      <c r="D271" s="12" t="s">
        <v>30</v>
      </c>
      <c r="E271" s="13"/>
      <c r="F271" s="13"/>
      <c r="G271" s="14" t="str">
        <f>$G$195</f>
        <v>Trừ 10 điểm chưa CNTTSV</v>
      </c>
      <c r="H271" s="22" t="s">
        <v>251</v>
      </c>
    </row>
    <row r="272" ht="15.75" customHeight="1" spans="1:16" x14ac:dyDescent="0.25">
      <c r="A272" s="12">
        <f>_xlfn.AGGREGATE(3,3,$B$9:B272)</f>
        <v>246</v>
      </c>
      <c r="B272" s="12">
        <v>217060184</v>
      </c>
      <c r="C272" s="12" t="s">
        <v>345</v>
      </c>
      <c r="D272" s="12" t="s">
        <v>200</v>
      </c>
      <c r="E272" s="13"/>
      <c r="F272" s="13"/>
      <c r="G272" s="14"/>
      <c r="H272" s="22" t="s">
        <v>251</v>
      </c>
    </row>
    <row r="273" ht="15.75" customHeight="1" spans="1:16" x14ac:dyDescent="0.25">
      <c r="A273" s="12">
        <f>_xlfn.AGGREGATE(3,3,$B$9:B273)</f>
        <v>247</v>
      </c>
      <c r="B273" s="12">
        <v>217060185</v>
      </c>
      <c r="C273" s="12" t="s">
        <v>346</v>
      </c>
      <c r="D273" s="12" t="s">
        <v>64</v>
      </c>
      <c r="E273" s="13"/>
      <c r="F273" s="13"/>
      <c r="G273" s="14" t="str">
        <f>$G$195</f>
        <v>Trừ 10 điểm chưa CNTTSV</v>
      </c>
      <c r="H273" s="22" t="s">
        <v>251</v>
      </c>
    </row>
    <row r="274" ht="15.75" customHeight="1" spans="1:16" x14ac:dyDescent="0.25">
      <c r="A274" s="12">
        <f>_xlfn.AGGREGATE(3,3,$B$9:B274)</f>
        <v>248</v>
      </c>
      <c r="B274" s="12">
        <v>217060189</v>
      </c>
      <c r="C274" s="12" t="s">
        <v>347</v>
      </c>
      <c r="D274" s="12" t="s">
        <v>348</v>
      </c>
      <c r="E274" s="13"/>
      <c r="F274" s="13"/>
      <c r="G274" s="14"/>
      <c r="H274" s="22" t="s">
        <v>251</v>
      </c>
    </row>
    <row r="275" ht="15.75" customHeight="1" spans="1:16" x14ac:dyDescent="0.25">
      <c r="A275" s="12">
        <f>_xlfn.AGGREGATE(3,3,$B$9:B275)</f>
        <v>249</v>
      </c>
      <c r="B275" s="12">
        <v>217060191</v>
      </c>
      <c r="C275" s="12" t="s">
        <v>349</v>
      </c>
      <c r="D275" s="12" t="s">
        <v>70</v>
      </c>
      <c r="E275" s="13"/>
      <c r="F275" s="13"/>
      <c r="G275" s="14"/>
      <c r="H275" s="22" t="s">
        <v>251</v>
      </c>
    </row>
    <row r="276" ht="15.75" customHeight="1" spans="1:16" x14ac:dyDescent="0.25">
      <c r="A276" s="12">
        <f>_xlfn.AGGREGATE(3,3,$B$9:B276)</f>
        <v>250</v>
      </c>
      <c r="B276" s="12">
        <v>227060002</v>
      </c>
      <c r="C276" s="12" t="s">
        <v>350</v>
      </c>
      <c r="D276" s="12" t="s">
        <v>129</v>
      </c>
      <c r="E276" s="13"/>
      <c r="F276" s="13"/>
      <c r="G276" s="14"/>
      <c r="H276" s="22" t="s">
        <v>351</v>
      </c>
    </row>
    <row r="277" ht="15.75" customHeight="1" spans="1:16" x14ac:dyDescent="0.25">
      <c r="A277" s="12">
        <f>_xlfn.AGGREGATE(3,3,$B$9:B277)</f>
        <v>251</v>
      </c>
      <c r="B277" s="12">
        <v>227060003</v>
      </c>
      <c r="C277" s="12" t="s">
        <v>142</v>
      </c>
      <c r="D277" s="12" t="s">
        <v>72</v>
      </c>
      <c r="E277" s="13"/>
      <c r="F277" s="13"/>
      <c r="G277" s="14"/>
      <c r="H277" s="22" t="s">
        <v>351</v>
      </c>
    </row>
    <row r="278" ht="15.75" customHeight="1" spans="1:16" x14ac:dyDescent="0.25">
      <c r="A278" s="12">
        <f>_xlfn.AGGREGATE(3,3,$B$9:B278)</f>
        <v>252</v>
      </c>
      <c r="B278" s="12">
        <v>227060004</v>
      </c>
      <c r="C278" s="12" t="s">
        <v>119</v>
      </c>
      <c r="D278" s="12" t="s">
        <v>126</v>
      </c>
      <c r="E278" s="13"/>
      <c r="F278" s="13"/>
      <c r="G278" s="14"/>
      <c r="H278" s="22" t="s">
        <v>351</v>
      </c>
    </row>
    <row r="279" ht="15.75" customHeight="1" spans="1:16" x14ac:dyDescent="0.25">
      <c r="A279" s="12">
        <f>_xlfn.AGGREGATE(3,3,$B$9:B279)</f>
        <v>253</v>
      </c>
      <c r="B279" s="12">
        <v>227060006</v>
      </c>
      <c r="C279" s="12" t="s">
        <v>352</v>
      </c>
      <c r="D279" s="12" t="s">
        <v>80</v>
      </c>
      <c r="E279" s="13"/>
      <c r="F279" s="13"/>
      <c r="G279" s="14"/>
      <c r="H279" s="22" t="s">
        <v>351</v>
      </c>
    </row>
    <row r="280" ht="15.75" customHeight="1" spans="1:16" x14ac:dyDescent="0.25">
      <c r="A280" s="12">
        <f>_xlfn.AGGREGATE(3,3,$B$9:B280)</f>
        <v>254</v>
      </c>
      <c r="B280" s="12">
        <v>227060007</v>
      </c>
      <c r="C280" s="12" t="s">
        <v>353</v>
      </c>
      <c r="D280" s="12" t="s">
        <v>354</v>
      </c>
      <c r="E280" s="13"/>
      <c r="F280" s="13"/>
      <c r="G280" s="14"/>
      <c r="H280" s="22" t="s">
        <v>351</v>
      </c>
    </row>
    <row r="281" ht="15.75" customHeight="1" spans="1:16" x14ac:dyDescent="0.25">
      <c r="A281" s="12">
        <f>_xlfn.AGGREGATE(3,3,$B$9:B281)</f>
        <v>255</v>
      </c>
      <c r="B281" s="12">
        <v>227060009</v>
      </c>
      <c r="C281" s="12" t="s">
        <v>355</v>
      </c>
      <c r="D281" s="12" t="s">
        <v>132</v>
      </c>
      <c r="E281" s="13"/>
      <c r="F281" s="13"/>
      <c r="G281" s="14"/>
      <c r="H281" s="22" t="s">
        <v>351</v>
      </c>
    </row>
    <row r="282" ht="15.75" customHeight="1" spans="1:16" x14ac:dyDescent="0.25">
      <c r="A282" s="12">
        <f>_xlfn.AGGREGATE(3,3,$B$9:B282)</f>
        <v>256</v>
      </c>
      <c r="B282" s="12">
        <v>227060010</v>
      </c>
      <c r="C282" s="12" t="s">
        <v>356</v>
      </c>
      <c r="D282" s="12" t="s">
        <v>299</v>
      </c>
      <c r="E282" s="13"/>
      <c r="F282" s="13"/>
      <c r="G282" s="14"/>
      <c r="H282" s="22" t="s">
        <v>351</v>
      </c>
    </row>
    <row r="283" ht="15.75" customHeight="1" spans="1:16" x14ac:dyDescent="0.25">
      <c r="A283" s="12">
        <f>_xlfn.AGGREGATE(3,3,$B$9:B283)</f>
        <v>257</v>
      </c>
      <c r="B283" s="12">
        <v>227060011</v>
      </c>
      <c r="C283" s="12" t="s">
        <v>257</v>
      </c>
      <c r="D283" s="12" t="s">
        <v>357</v>
      </c>
      <c r="E283" s="13"/>
      <c r="F283" s="13"/>
      <c r="G283" s="14" t="str">
        <f>$G$242</f>
        <v>Trừ 10 điểm chưa CNTTSV</v>
      </c>
      <c r="H283" s="22" t="s">
        <v>351</v>
      </c>
    </row>
    <row r="284" ht="15.75" customHeight="1" spans="1:16" x14ac:dyDescent="0.25">
      <c r="A284" s="12">
        <f>_xlfn.AGGREGATE(3,3,$B$9:B284)</f>
        <v>258</v>
      </c>
      <c r="B284" s="12">
        <v>227060012</v>
      </c>
      <c r="C284" s="12" t="s">
        <v>142</v>
      </c>
      <c r="D284" s="12" t="s">
        <v>161</v>
      </c>
      <c r="E284" s="13"/>
      <c r="F284" s="13"/>
      <c r="G284" s="14"/>
      <c r="H284" s="22" t="s">
        <v>351</v>
      </c>
    </row>
    <row r="285" ht="15.75" customHeight="1" spans="1:16" x14ac:dyDescent="0.25">
      <c r="A285" s="12">
        <f>_xlfn.AGGREGATE(3,3,$B$9:B285)</f>
        <v>259</v>
      </c>
      <c r="B285" s="12">
        <v>227060014</v>
      </c>
      <c r="C285" s="12" t="s">
        <v>358</v>
      </c>
      <c r="D285" s="12" t="s">
        <v>359</v>
      </c>
      <c r="E285" s="13"/>
      <c r="F285" s="13"/>
      <c r="G285" s="14"/>
      <c r="H285" s="22" t="s">
        <v>351</v>
      </c>
    </row>
    <row r="286" ht="15.75" customHeight="1" spans="1:16" x14ac:dyDescent="0.25">
      <c r="A286" s="12">
        <f>_xlfn.AGGREGATE(3,3,$B$9:B286)</f>
        <v>260</v>
      </c>
      <c r="B286" s="12">
        <v>227060015</v>
      </c>
      <c r="C286" s="12" t="s">
        <v>360</v>
      </c>
      <c r="D286" s="12" t="s">
        <v>34</v>
      </c>
      <c r="E286" s="13"/>
      <c r="F286" s="13"/>
      <c r="G286" s="14"/>
      <c r="H286" s="22" t="s">
        <v>351</v>
      </c>
    </row>
    <row r="287" ht="15.75" customHeight="1" spans="1:16" x14ac:dyDescent="0.25">
      <c r="A287" s="12">
        <f>_xlfn.AGGREGATE(3,3,$B$9:B287)</f>
        <v>261</v>
      </c>
      <c r="B287" s="12">
        <v>227060016</v>
      </c>
      <c r="C287" s="12" t="s">
        <v>361</v>
      </c>
      <c r="D287" s="12" t="s">
        <v>362</v>
      </c>
      <c r="E287" s="13"/>
      <c r="F287" s="13"/>
      <c r="G287" s="14"/>
      <c r="H287" s="22" t="s">
        <v>351</v>
      </c>
    </row>
    <row r="288" ht="15.75" customHeight="1" spans="1:16" x14ac:dyDescent="0.25">
      <c r="A288" s="12">
        <f>_xlfn.AGGREGATE(3,3,$B$9:B288)</f>
        <v>262</v>
      </c>
      <c r="B288" s="12">
        <v>227060017</v>
      </c>
      <c r="C288" s="12" t="s">
        <v>363</v>
      </c>
      <c r="D288" s="12" t="s">
        <v>32</v>
      </c>
      <c r="E288" s="13"/>
      <c r="F288" s="13"/>
      <c r="G288" s="14"/>
      <c r="H288" s="22" t="s">
        <v>351</v>
      </c>
    </row>
    <row r="289" ht="15.75" customHeight="1" spans="1:16" x14ac:dyDescent="0.25">
      <c r="A289" s="12">
        <f>_xlfn.AGGREGATE(3,3,$B$9:B289)</f>
        <v>263</v>
      </c>
      <c r="B289" s="12">
        <v>227060019</v>
      </c>
      <c r="C289" s="12" t="s">
        <v>364</v>
      </c>
      <c r="D289" s="12" t="s">
        <v>43</v>
      </c>
      <c r="E289" s="13"/>
      <c r="F289" s="13"/>
      <c r="G289" s="14"/>
      <c r="H289" s="22" t="s">
        <v>351</v>
      </c>
    </row>
    <row r="290" ht="15.75" customHeight="1" spans="1:16" x14ac:dyDescent="0.25">
      <c r="A290" s="12">
        <f>_xlfn.AGGREGATE(3,3,$B$9:B290)</f>
        <v>264</v>
      </c>
      <c r="B290" s="12">
        <v>227060020</v>
      </c>
      <c r="C290" s="12" t="s">
        <v>365</v>
      </c>
      <c r="D290" s="12" t="s">
        <v>366</v>
      </c>
      <c r="E290" s="13"/>
      <c r="F290" s="13"/>
      <c r="G290" s="14"/>
      <c r="H290" s="22" t="s">
        <v>351</v>
      </c>
    </row>
    <row r="291" ht="15.75" customHeight="1" spans="1:16" x14ac:dyDescent="0.25">
      <c r="A291" s="12">
        <f>_xlfn.AGGREGATE(3,3,$B$9:B291)</f>
        <v>265</v>
      </c>
      <c r="B291" s="12">
        <v>227060022</v>
      </c>
      <c r="C291" s="12" t="s">
        <v>367</v>
      </c>
      <c r="D291" s="12" t="s">
        <v>15</v>
      </c>
      <c r="E291" s="13"/>
      <c r="F291" s="13"/>
      <c r="G291" s="14"/>
      <c r="H291" s="22" t="s">
        <v>351</v>
      </c>
    </row>
    <row r="292" ht="15.75" customHeight="1" spans="1:16" x14ac:dyDescent="0.25">
      <c r="A292" s="12">
        <f>_xlfn.AGGREGATE(3,3,$B$9:B292)</f>
        <v>266</v>
      </c>
      <c r="B292" s="12">
        <v>227060023</v>
      </c>
      <c r="C292" s="12" t="s">
        <v>368</v>
      </c>
      <c r="D292" s="12" t="s">
        <v>15</v>
      </c>
      <c r="E292" s="13"/>
      <c r="F292" s="13"/>
      <c r="G292" s="14"/>
      <c r="H292" s="22" t="s">
        <v>351</v>
      </c>
    </row>
    <row r="293" ht="15.75" customHeight="1" spans="1:16" x14ac:dyDescent="0.25">
      <c r="A293" s="12">
        <f>_xlfn.AGGREGATE(3,3,$B$9:B293)</f>
        <v>267</v>
      </c>
      <c r="B293" s="12">
        <v>227060025</v>
      </c>
      <c r="C293" s="12" t="s">
        <v>369</v>
      </c>
      <c r="D293" s="12" t="s">
        <v>34</v>
      </c>
      <c r="E293" s="13"/>
      <c r="F293" s="13"/>
      <c r="G293" s="14"/>
      <c r="H293" s="22" t="s">
        <v>351</v>
      </c>
    </row>
    <row r="294" ht="15.75" customHeight="1" spans="1:16" x14ac:dyDescent="0.25">
      <c r="A294" s="12">
        <f>_xlfn.AGGREGATE(3,3,$B$9:B294)</f>
        <v>268</v>
      </c>
      <c r="B294" s="12">
        <v>227060026</v>
      </c>
      <c r="C294" s="12" t="s">
        <v>370</v>
      </c>
      <c r="D294" s="12" t="s">
        <v>326</v>
      </c>
      <c r="E294" s="13"/>
      <c r="F294" s="13"/>
      <c r="G294" s="14"/>
      <c r="H294" s="22" t="s">
        <v>351</v>
      </c>
    </row>
    <row r="295" ht="15.75" customHeight="1" spans="1:16" x14ac:dyDescent="0.25">
      <c r="A295" s="12">
        <f>_xlfn.AGGREGATE(3,3,$B$9:B295)</f>
        <v>269</v>
      </c>
      <c r="B295" s="12">
        <v>227060027</v>
      </c>
      <c r="C295" s="12" t="s">
        <v>371</v>
      </c>
      <c r="D295" s="12" t="s">
        <v>372</v>
      </c>
      <c r="E295" s="13"/>
      <c r="F295" s="13"/>
      <c r="G295" s="14"/>
      <c r="H295" s="22" t="s">
        <v>351</v>
      </c>
    </row>
    <row r="296" ht="15.75" customHeight="1" spans="1:16" x14ac:dyDescent="0.25">
      <c r="A296" s="12">
        <f>_xlfn.AGGREGATE(3,3,$B$9:B296)</f>
        <v>270</v>
      </c>
      <c r="B296" s="12">
        <v>227060028</v>
      </c>
      <c r="C296" s="12" t="s">
        <v>373</v>
      </c>
      <c r="D296" s="12" t="s">
        <v>161</v>
      </c>
      <c r="E296" s="13"/>
      <c r="F296" s="13"/>
      <c r="G296" s="14"/>
      <c r="H296" s="22" t="s">
        <v>351</v>
      </c>
    </row>
    <row r="297" ht="15.75" customHeight="1" spans="1:16" x14ac:dyDescent="0.25">
      <c r="A297" s="12">
        <f>_xlfn.AGGREGATE(3,3,$B$9:B297)</f>
        <v>271</v>
      </c>
      <c r="B297" s="12">
        <v>227060030</v>
      </c>
      <c r="C297" s="12" t="s">
        <v>374</v>
      </c>
      <c r="D297" s="12" t="s">
        <v>375</v>
      </c>
      <c r="E297" s="13"/>
      <c r="F297" s="13"/>
      <c r="G297" s="14"/>
      <c r="H297" s="22" t="s">
        <v>351</v>
      </c>
    </row>
    <row r="298" ht="15.75" customHeight="1" spans="1:16" x14ac:dyDescent="0.25">
      <c r="A298" s="12">
        <f>_xlfn.AGGREGATE(3,3,$B$9:B298)</f>
        <v>272</v>
      </c>
      <c r="B298" s="12">
        <v>227060031</v>
      </c>
      <c r="C298" s="12" t="s">
        <v>376</v>
      </c>
      <c r="D298" s="12" t="s">
        <v>156</v>
      </c>
      <c r="E298" s="13"/>
      <c r="F298" s="13"/>
      <c r="G298" s="14"/>
      <c r="H298" s="22" t="s">
        <v>351</v>
      </c>
    </row>
    <row r="299" ht="15.75" customHeight="1" spans="1:16" x14ac:dyDescent="0.25">
      <c r="A299" s="12">
        <f>_xlfn.AGGREGATE(3,3,$B$9:B299)</f>
        <v>273</v>
      </c>
      <c r="B299" s="12">
        <v>227060034</v>
      </c>
      <c r="C299" s="12" t="s">
        <v>377</v>
      </c>
      <c r="D299" s="12" t="s">
        <v>378</v>
      </c>
      <c r="E299" s="13"/>
      <c r="F299" s="13"/>
      <c r="G299" s="14"/>
      <c r="H299" s="22" t="s">
        <v>351</v>
      </c>
    </row>
    <row r="300" ht="15.75" customHeight="1" spans="1:16" x14ac:dyDescent="0.25">
      <c r="A300" s="12">
        <f>_xlfn.AGGREGATE(3,3,$B$9:B300)</f>
        <v>274</v>
      </c>
      <c r="B300" s="12">
        <v>227060035</v>
      </c>
      <c r="C300" s="12" t="s">
        <v>379</v>
      </c>
      <c r="D300" s="12" t="s">
        <v>158</v>
      </c>
      <c r="E300" s="13"/>
      <c r="F300" s="13"/>
      <c r="G300" s="14"/>
      <c r="H300" s="22" t="s">
        <v>351</v>
      </c>
    </row>
    <row r="301" ht="15.75" customHeight="1" spans="1:16" x14ac:dyDescent="0.25">
      <c r="A301" s="12">
        <f>_xlfn.AGGREGATE(3,3,$B$9:B301)</f>
        <v>275</v>
      </c>
      <c r="B301" s="12">
        <v>227060036</v>
      </c>
      <c r="C301" s="12" t="s">
        <v>139</v>
      </c>
      <c r="D301" s="12" t="s">
        <v>126</v>
      </c>
      <c r="E301" s="13"/>
      <c r="F301" s="13"/>
      <c r="G301" s="14"/>
      <c r="H301" s="22" t="s">
        <v>351</v>
      </c>
    </row>
    <row r="302" ht="15.75" customHeight="1" spans="1:16" x14ac:dyDescent="0.25">
      <c r="A302" s="12">
        <f>_xlfn.AGGREGATE(3,3,$B$9:B302)</f>
        <v>276</v>
      </c>
      <c r="B302" s="12">
        <v>227060037</v>
      </c>
      <c r="C302" s="12" t="s">
        <v>380</v>
      </c>
      <c r="D302" s="12" t="s">
        <v>180</v>
      </c>
      <c r="E302" s="13"/>
      <c r="F302" s="13"/>
      <c r="G302" s="14"/>
      <c r="H302" s="22" t="s">
        <v>351</v>
      </c>
    </row>
    <row r="303" ht="15.75" customHeight="1" spans="1:16" x14ac:dyDescent="0.25">
      <c r="A303" s="12">
        <f>_xlfn.AGGREGATE(3,3,$B$9:B303)</f>
        <v>277</v>
      </c>
      <c r="B303" s="12">
        <v>227060038</v>
      </c>
      <c r="C303" s="12" t="s">
        <v>381</v>
      </c>
      <c r="D303" s="12" t="s">
        <v>318</v>
      </c>
      <c r="E303" s="13"/>
      <c r="F303" s="13"/>
      <c r="G303" s="14"/>
      <c r="H303" s="22" t="s">
        <v>351</v>
      </c>
    </row>
    <row r="304" ht="15.75" customHeight="1" spans="1:16" x14ac:dyDescent="0.25">
      <c r="A304" s="12">
        <f>_xlfn.AGGREGATE(3,3,$B$9:B304)</f>
        <v>278</v>
      </c>
      <c r="B304" s="12">
        <v>227060039</v>
      </c>
      <c r="C304" s="12" t="s">
        <v>277</v>
      </c>
      <c r="D304" s="12" t="s">
        <v>382</v>
      </c>
      <c r="E304" s="13"/>
      <c r="F304" s="13"/>
      <c r="G304" s="14"/>
      <c r="H304" s="22" t="s">
        <v>351</v>
      </c>
    </row>
    <row r="305" ht="15.75" customHeight="1" spans="1:16" x14ac:dyDescent="0.25">
      <c r="A305" s="12">
        <f>_xlfn.AGGREGATE(3,3,$B$9:B305)</f>
        <v>279</v>
      </c>
      <c r="B305" s="12">
        <v>227060041</v>
      </c>
      <c r="C305" s="12" t="s">
        <v>85</v>
      </c>
      <c r="D305" s="12" t="s">
        <v>383</v>
      </c>
      <c r="E305" s="13"/>
      <c r="F305" s="13"/>
      <c r="G305" s="14"/>
      <c r="H305" s="22" t="s">
        <v>351</v>
      </c>
    </row>
    <row r="306" ht="15.75" customHeight="1" spans="1:16" x14ac:dyDescent="0.25">
      <c r="A306" s="12">
        <f>_xlfn.AGGREGATE(3,3,$B$9:B306)</f>
        <v>280</v>
      </c>
      <c r="B306" s="12">
        <v>227060042</v>
      </c>
      <c r="C306" s="12" t="s">
        <v>384</v>
      </c>
      <c r="D306" s="12" t="s">
        <v>385</v>
      </c>
      <c r="E306" s="13"/>
      <c r="F306" s="13"/>
      <c r="G306" s="14"/>
      <c r="H306" s="22" t="s">
        <v>351</v>
      </c>
    </row>
    <row r="307" ht="15.75" customHeight="1" spans="1:16" x14ac:dyDescent="0.25">
      <c r="A307" s="12">
        <f>_xlfn.AGGREGATE(3,3,$B$9:B307)</f>
        <v>281</v>
      </c>
      <c r="B307" s="12">
        <v>227060043</v>
      </c>
      <c r="C307" s="12" t="s">
        <v>386</v>
      </c>
      <c r="D307" s="12" t="s">
        <v>30</v>
      </c>
      <c r="E307" s="13"/>
      <c r="F307" s="13"/>
      <c r="G307" s="14"/>
      <c r="H307" s="22" t="s">
        <v>351</v>
      </c>
    </row>
    <row r="308" ht="15.75" customHeight="1" spans="1:16" x14ac:dyDescent="0.25">
      <c r="A308" s="12">
        <f>_xlfn.AGGREGATE(3,3,$B$9:B308)</f>
        <v>282</v>
      </c>
      <c r="B308" s="12">
        <v>227060045</v>
      </c>
      <c r="C308" s="12" t="s">
        <v>277</v>
      </c>
      <c r="D308" s="12" t="s">
        <v>387</v>
      </c>
      <c r="E308" s="13"/>
      <c r="F308" s="13"/>
      <c r="G308" s="14"/>
      <c r="H308" s="22" t="s">
        <v>351</v>
      </c>
    </row>
    <row r="309" ht="15.75" customHeight="1" spans="1:16" x14ac:dyDescent="0.25">
      <c r="A309" s="12">
        <f>_xlfn.AGGREGATE(3,3,$B$9:B309)</f>
        <v>283</v>
      </c>
      <c r="B309" s="12">
        <v>227060047</v>
      </c>
      <c r="C309" s="12" t="s">
        <v>388</v>
      </c>
      <c r="D309" s="12" t="s">
        <v>389</v>
      </c>
      <c r="E309" s="13"/>
      <c r="F309" s="13"/>
      <c r="G309" s="14"/>
      <c r="H309" s="22" t="s">
        <v>351</v>
      </c>
    </row>
    <row r="310" ht="15.75" customHeight="1" spans="1:16" x14ac:dyDescent="0.25">
      <c r="A310" s="12">
        <f>_xlfn.AGGREGATE(3,3,$B$9:B310)</f>
        <v>284</v>
      </c>
      <c r="B310" s="12">
        <v>227060048</v>
      </c>
      <c r="C310" s="12" t="s">
        <v>390</v>
      </c>
      <c r="D310" s="12" t="s">
        <v>209</v>
      </c>
      <c r="E310" s="13"/>
      <c r="F310" s="13"/>
      <c r="G310" s="14"/>
      <c r="H310" s="22" t="s">
        <v>351</v>
      </c>
    </row>
    <row r="311" ht="15.75" customHeight="1" spans="1:16" x14ac:dyDescent="0.25">
      <c r="A311" s="12">
        <f>_xlfn.AGGREGATE(3,3,$B$9:B311)</f>
        <v>285</v>
      </c>
      <c r="B311" s="12">
        <v>227060051</v>
      </c>
      <c r="C311" s="12" t="s">
        <v>391</v>
      </c>
      <c r="D311" s="12" t="s">
        <v>392</v>
      </c>
      <c r="E311" s="13"/>
      <c r="F311" s="13"/>
      <c r="G311" s="14"/>
      <c r="H311" s="22" t="s">
        <v>351</v>
      </c>
    </row>
    <row r="312" ht="15.75" customHeight="1" spans="1:16" x14ac:dyDescent="0.25">
      <c r="A312" s="12">
        <f>_xlfn.AGGREGATE(3,3,$B$9:B312)</f>
        <v>286</v>
      </c>
      <c r="B312" s="12">
        <v>227060052</v>
      </c>
      <c r="C312" s="12" t="s">
        <v>393</v>
      </c>
      <c r="D312" s="12" t="s">
        <v>394</v>
      </c>
      <c r="E312" s="13"/>
      <c r="F312" s="13"/>
      <c r="G312" s="14"/>
      <c r="H312" s="22" t="s">
        <v>351</v>
      </c>
    </row>
    <row r="313" ht="15.75" customHeight="1" spans="1:16" x14ac:dyDescent="0.25">
      <c r="A313" s="12">
        <f>_xlfn.AGGREGATE(3,3,$B$9:B313)</f>
        <v>287</v>
      </c>
      <c r="B313" s="12">
        <v>227060053</v>
      </c>
      <c r="C313" s="12" t="s">
        <v>374</v>
      </c>
      <c r="D313" s="12" t="s">
        <v>299</v>
      </c>
      <c r="E313" s="13"/>
      <c r="F313" s="13"/>
      <c r="G313" s="14"/>
      <c r="H313" s="22" t="s">
        <v>351</v>
      </c>
    </row>
    <row r="314" ht="15.75" customHeight="1" spans="1:16" x14ac:dyDescent="0.25">
      <c r="A314" s="12">
        <f>_xlfn.AGGREGATE(3,3,$B$9:B314)</f>
        <v>288</v>
      </c>
      <c r="B314" s="12">
        <v>227060055</v>
      </c>
      <c r="C314" s="12" t="s">
        <v>395</v>
      </c>
      <c r="D314" s="12" t="s">
        <v>396</v>
      </c>
      <c r="E314" s="13"/>
      <c r="F314" s="13"/>
      <c r="G314" s="14"/>
      <c r="H314" s="22" t="s">
        <v>351</v>
      </c>
    </row>
    <row r="315" ht="15.75" customHeight="1" spans="1:16" x14ac:dyDescent="0.25">
      <c r="A315" s="12">
        <f>_xlfn.AGGREGATE(3,3,$B$9:B315)</f>
        <v>289</v>
      </c>
      <c r="B315" s="12">
        <v>227060056</v>
      </c>
      <c r="C315" s="12" t="s">
        <v>397</v>
      </c>
      <c r="D315" s="12" t="s">
        <v>209</v>
      </c>
      <c r="E315" s="13"/>
      <c r="F315" s="13"/>
      <c r="G315" s="14"/>
      <c r="H315" s="22" t="s">
        <v>351</v>
      </c>
    </row>
    <row r="316" ht="15.75" customHeight="1" spans="1:16" x14ac:dyDescent="0.25">
      <c r="A316" s="12">
        <f>_xlfn.AGGREGATE(3,3,$B$9:B316)</f>
        <v>290</v>
      </c>
      <c r="B316" s="12">
        <v>227060057</v>
      </c>
      <c r="C316" s="12" t="s">
        <v>49</v>
      </c>
      <c r="D316" s="12" t="s">
        <v>241</v>
      </c>
      <c r="E316" s="13"/>
      <c r="F316" s="13"/>
      <c r="G316" s="14"/>
      <c r="H316" s="22" t="s">
        <v>351</v>
      </c>
    </row>
    <row r="317" ht="15.75" customHeight="1" spans="1:16" x14ac:dyDescent="0.25">
      <c r="A317" s="12">
        <f>_xlfn.AGGREGATE(3,3,$B$9:B317)</f>
        <v>291</v>
      </c>
      <c r="B317" s="12">
        <v>227060058</v>
      </c>
      <c r="C317" s="12" t="s">
        <v>398</v>
      </c>
      <c r="D317" s="12" t="s">
        <v>399</v>
      </c>
      <c r="E317" s="13"/>
      <c r="F317" s="13"/>
      <c r="G317" s="14" t="str">
        <f>$G$242</f>
        <v>Trừ 10 điểm chưa CNTTSV</v>
      </c>
      <c r="H317" s="22" t="s">
        <v>351</v>
      </c>
    </row>
    <row r="318" ht="15.75" customHeight="1" spans="1:16" x14ac:dyDescent="0.25">
      <c r="A318" s="12">
        <f>_xlfn.AGGREGATE(3,3,$B$9:B318)</f>
        <v>292</v>
      </c>
      <c r="B318" s="12">
        <v>227060059</v>
      </c>
      <c r="C318" s="12" t="s">
        <v>14</v>
      </c>
      <c r="D318" s="12" t="s">
        <v>177</v>
      </c>
      <c r="E318" s="13"/>
      <c r="F318" s="13"/>
      <c r="G318" s="14"/>
      <c r="H318" s="22" t="s">
        <v>351</v>
      </c>
    </row>
    <row r="319" ht="15.75" customHeight="1" spans="1:16" x14ac:dyDescent="0.25">
      <c r="A319" s="12">
        <f>_xlfn.AGGREGATE(3,3,$B$9:B319)</f>
        <v>293</v>
      </c>
      <c r="B319" s="12">
        <v>227060060</v>
      </c>
      <c r="C319" s="12" t="s">
        <v>400</v>
      </c>
      <c r="D319" s="12" t="s">
        <v>267</v>
      </c>
      <c r="E319" s="13"/>
      <c r="F319" s="13"/>
      <c r="G319" s="14"/>
      <c r="H319" s="22" t="s">
        <v>351</v>
      </c>
    </row>
    <row r="320" ht="15.75" customHeight="1" spans="1:16" x14ac:dyDescent="0.25">
      <c r="A320" s="12">
        <f>_xlfn.AGGREGATE(3,3,$B$9:B320)</f>
        <v>294</v>
      </c>
      <c r="B320" s="12">
        <v>227060061</v>
      </c>
      <c r="C320" s="12" t="s">
        <v>401</v>
      </c>
      <c r="D320" s="12" t="s">
        <v>281</v>
      </c>
      <c r="E320" s="13"/>
      <c r="F320" s="13"/>
      <c r="G320" s="14"/>
      <c r="H320" s="22" t="s">
        <v>351</v>
      </c>
    </row>
    <row r="321" ht="15.75" customHeight="1" spans="1:16" x14ac:dyDescent="0.25">
      <c r="A321" s="12">
        <f>_xlfn.AGGREGATE(3,3,$B$9:B321)</f>
        <v>295</v>
      </c>
      <c r="B321" s="12">
        <v>227060063</v>
      </c>
      <c r="C321" s="12" t="s">
        <v>402</v>
      </c>
      <c r="D321" s="12" t="s">
        <v>187</v>
      </c>
      <c r="E321" s="13"/>
      <c r="F321" s="13"/>
      <c r="G321" s="14"/>
      <c r="H321" s="22" t="s">
        <v>351</v>
      </c>
    </row>
    <row r="322" ht="15.75" customHeight="1" spans="1:16" x14ac:dyDescent="0.25">
      <c r="A322" s="12">
        <f>_xlfn.AGGREGATE(3,3,$B$9:B322)</f>
        <v>296</v>
      </c>
      <c r="B322" s="12">
        <v>227060065</v>
      </c>
      <c r="C322" s="12" t="s">
        <v>403</v>
      </c>
      <c r="D322" s="12" t="s">
        <v>404</v>
      </c>
      <c r="E322" s="13"/>
      <c r="F322" s="13"/>
      <c r="G322" s="14"/>
      <c r="H322" s="22" t="s">
        <v>351</v>
      </c>
    </row>
    <row r="323" ht="15.75" customHeight="1" spans="1:16" x14ac:dyDescent="0.25">
      <c r="A323" s="12">
        <f>_xlfn.AGGREGATE(3,3,$B$9:B323)</f>
        <v>297</v>
      </c>
      <c r="B323" s="12">
        <v>227060066</v>
      </c>
      <c r="C323" s="12" t="s">
        <v>405</v>
      </c>
      <c r="D323" s="12" t="s">
        <v>70</v>
      </c>
      <c r="E323" s="13"/>
      <c r="F323" s="13"/>
      <c r="G323" s="14" t="str">
        <f>$G$317</f>
        <v>Trừ 10 điểm chưa CNTTSV</v>
      </c>
      <c r="H323" s="22" t="s">
        <v>351</v>
      </c>
    </row>
    <row r="324" ht="15.75" customHeight="1" spans="1:16" x14ac:dyDescent="0.25">
      <c r="A324" s="12">
        <f>_xlfn.AGGREGATE(3,3,$B$9:B324)</f>
        <v>298</v>
      </c>
      <c r="B324" s="12">
        <v>227060068</v>
      </c>
      <c r="C324" s="12" t="s">
        <v>406</v>
      </c>
      <c r="D324" s="12" t="s">
        <v>407</v>
      </c>
      <c r="E324" s="13"/>
      <c r="F324" s="13"/>
      <c r="G324" s="14"/>
      <c r="H324" s="22" t="s">
        <v>351</v>
      </c>
    </row>
    <row r="325" ht="15.75" customHeight="1" spans="1:16" x14ac:dyDescent="0.25">
      <c r="A325" s="12">
        <f>_xlfn.AGGREGATE(3,3,$B$9:B325)</f>
        <v>299</v>
      </c>
      <c r="B325" s="12">
        <v>227060070</v>
      </c>
      <c r="C325" s="12" t="s">
        <v>408</v>
      </c>
      <c r="D325" s="12" t="s">
        <v>409</v>
      </c>
      <c r="E325" s="13"/>
      <c r="F325" s="13"/>
      <c r="G325" s="14"/>
      <c r="H325" s="22" t="s">
        <v>351</v>
      </c>
    </row>
    <row r="326" ht="15.75" customHeight="1" spans="1:16" x14ac:dyDescent="0.25">
      <c r="A326" s="12">
        <f>_xlfn.AGGREGATE(3,3,$B$9:B326)</f>
        <v>300</v>
      </c>
      <c r="B326" s="12">
        <v>227060071</v>
      </c>
      <c r="C326" s="12" t="s">
        <v>410</v>
      </c>
      <c r="D326" s="12" t="s">
        <v>411</v>
      </c>
      <c r="E326" s="13"/>
      <c r="F326" s="13"/>
      <c r="G326" s="14"/>
      <c r="H326" s="22" t="s">
        <v>351</v>
      </c>
    </row>
    <row r="327" ht="15.75" customHeight="1" spans="1:16" x14ac:dyDescent="0.25">
      <c r="A327" s="12">
        <f>_xlfn.AGGREGATE(3,3,$B$9:B327)</f>
        <v>301</v>
      </c>
      <c r="B327" s="12">
        <v>227060072</v>
      </c>
      <c r="C327" s="12" t="s">
        <v>412</v>
      </c>
      <c r="D327" s="12" t="s">
        <v>32</v>
      </c>
      <c r="E327" s="13"/>
      <c r="F327" s="13"/>
      <c r="G327" s="14"/>
      <c r="H327" s="22" t="s">
        <v>351</v>
      </c>
    </row>
    <row r="328" ht="15.75" customHeight="1" spans="1:16" x14ac:dyDescent="0.25">
      <c r="A328" s="12">
        <f>_xlfn.AGGREGATE(3,3,$B$9:B328)</f>
        <v>302</v>
      </c>
      <c r="B328" s="12">
        <v>227060073</v>
      </c>
      <c r="C328" s="12" t="s">
        <v>413</v>
      </c>
      <c r="D328" s="12" t="s">
        <v>30</v>
      </c>
      <c r="E328" s="13"/>
      <c r="F328" s="13"/>
      <c r="G328" s="14"/>
      <c r="H328" s="22" t="s">
        <v>351</v>
      </c>
    </row>
    <row r="329" ht="15.75" customHeight="1" spans="1:16" x14ac:dyDescent="0.25">
      <c r="A329" s="12">
        <f>_xlfn.AGGREGATE(3,3,$B$9:B329)</f>
        <v>303</v>
      </c>
      <c r="B329" s="12">
        <v>227060074</v>
      </c>
      <c r="C329" s="12" t="s">
        <v>414</v>
      </c>
      <c r="D329" s="12" t="s">
        <v>338</v>
      </c>
      <c r="E329" s="13"/>
      <c r="F329" s="13"/>
      <c r="G329" s="14"/>
      <c r="H329" s="22" t="s">
        <v>351</v>
      </c>
    </row>
    <row r="330" ht="15.75" customHeight="1" spans="1:16" x14ac:dyDescent="0.25">
      <c r="A330" s="12">
        <f>_xlfn.AGGREGATE(3,3,$B$9:B330)</f>
        <v>304</v>
      </c>
      <c r="B330" s="12">
        <v>227060075</v>
      </c>
      <c r="C330" s="12" t="s">
        <v>415</v>
      </c>
      <c r="D330" s="12" t="s">
        <v>253</v>
      </c>
      <c r="E330" s="13"/>
      <c r="F330" s="13"/>
      <c r="G330" s="14"/>
      <c r="H330" s="22" t="s">
        <v>351</v>
      </c>
    </row>
    <row r="331" ht="15.75" customHeight="1" spans="1:16" x14ac:dyDescent="0.25">
      <c r="A331" s="12">
        <f>_xlfn.AGGREGATE(3,3,$B$9:B331)</f>
        <v>305</v>
      </c>
      <c r="B331" s="12">
        <v>227060077</v>
      </c>
      <c r="C331" s="12" t="s">
        <v>416</v>
      </c>
      <c r="D331" s="12" t="s">
        <v>354</v>
      </c>
      <c r="E331" s="13"/>
      <c r="F331" s="13"/>
      <c r="G331" s="14"/>
      <c r="H331" s="22" t="s">
        <v>351</v>
      </c>
    </row>
    <row r="332" ht="15.75" customHeight="1" spans="1:16" x14ac:dyDescent="0.25">
      <c r="A332" s="12">
        <f>_xlfn.AGGREGATE(3,3,$B$9:B332)</f>
        <v>306</v>
      </c>
      <c r="B332" s="12">
        <v>227060078</v>
      </c>
      <c r="C332" s="12" t="s">
        <v>417</v>
      </c>
      <c r="D332" s="12" t="s">
        <v>88</v>
      </c>
      <c r="E332" s="13"/>
      <c r="F332" s="13"/>
      <c r="G332" s="14"/>
      <c r="H332" s="22" t="s">
        <v>351</v>
      </c>
    </row>
    <row r="333" ht="15.75" customHeight="1" spans="1:16" x14ac:dyDescent="0.25">
      <c r="A333" s="12">
        <f>_xlfn.AGGREGATE(3,3,$B$9:B333)</f>
        <v>307</v>
      </c>
      <c r="B333" s="12">
        <v>227060079</v>
      </c>
      <c r="C333" s="12" t="s">
        <v>418</v>
      </c>
      <c r="D333" s="12" t="s">
        <v>419</v>
      </c>
      <c r="E333" s="13"/>
      <c r="F333" s="13"/>
      <c r="G333" s="14"/>
      <c r="H333" s="22" t="s">
        <v>351</v>
      </c>
    </row>
    <row r="334" ht="15.75" customHeight="1" spans="1:16" x14ac:dyDescent="0.25">
      <c r="A334" s="12">
        <f>_xlfn.AGGREGATE(3,3,$B$9:B334)</f>
        <v>308</v>
      </c>
      <c r="B334" s="12">
        <v>227060080</v>
      </c>
      <c r="C334" s="12" t="s">
        <v>420</v>
      </c>
      <c r="D334" s="12" t="s">
        <v>50</v>
      </c>
      <c r="E334" s="13"/>
      <c r="F334" s="13"/>
      <c r="G334" s="14"/>
      <c r="H334" s="22" t="s">
        <v>351</v>
      </c>
    </row>
    <row r="335" ht="15.75" customHeight="1" spans="1:16" x14ac:dyDescent="0.25">
      <c r="A335" s="12">
        <f>_xlfn.AGGREGATE(3,3,$B$9:B335)</f>
        <v>309</v>
      </c>
      <c r="B335" s="12">
        <v>227060081</v>
      </c>
      <c r="C335" s="12" t="s">
        <v>421</v>
      </c>
      <c r="D335" s="12" t="s">
        <v>422</v>
      </c>
      <c r="E335" s="13"/>
      <c r="F335" s="13"/>
      <c r="G335" s="14"/>
      <c r="H335" s="22" t="s">
        <v>351</v>
      </c>
    </row>
    <row r="336" ht="15.75" customHeight="1" spans="1:16" x14ac:dyDescent="0.25">
      <c r="A336" s="12">
        <f>_xlfn.AGGREGATE(3,3,$B$9:B336)</f>
        <v>310</v>
      </c>
      <c r="B336" s="12">
        <v>227060082</v>
      </c>
      <c r="C336" s="12" t="s">
        <v>423</v>
      </c>
      <c r="D336" s="12" t="s">
        <v>70</v>
      </c>
      <c r="E336" s="13"/>
      <c r="F336" s="13"/>
      <c r="G336" s="14"/>
      <c r="H336" s="22" t="s">
        <v>351</v>
      </c>
    </row>
    <row r="337" ht="15.75" customHeight="1" spans="1:16" x14ac:dyDescent="0.25">
      <c r="A337" s="12">
        <f>_xlfn.AGGREGATE(3,3,$B$9:B337)</f>
        <v>311</v>
      </c>
      <c r="B337" s="12">
        <v>227060164</v>
      </c>
      <c r="C337" s="12" t="s">
        <v>424</v>
      </c>
      <c r="D337" s="12" t="s">
        <v>387</v>
      </c>
      <c r="E337" s="13"/>
      <c r="F337" s="13"/>
      <c r="G337" s="14" t="str">
        <f>$G$242</f>
        <v>Trừ 10 điểm chưa CNTTSV</v>
      </c>
      <c r="H337" s="22" t="s">
        <v>351</v>
      </c>
    </row>
    <row r="338" ht="15.75" customHeight="1" spans="1:16" x14ac:dyDescent="0.25">
      <c r="A338" s="12">
        <f>_xlfn.AGGREGATE(3,3,$B$9:B338)</f>
        <v>312</v>
      </c>
      <c r="B338" s="12">
        <v>227060167</v>
      </c>
      <c r="C338" s="12" t="s">
        <v>425</v>
      </c>
      <c r="D338" s="12" t="s">
        <v>276</v>
      </c>
      <c r="E338" s="13"/>
      <c r="F338" s="13"/>
      <c r="G338" s="14"/>
      <c r="H338" s="22" t="s">
        <v>351</v>
      </c>
    </row>
    <row r="339" ht="15.75" customHeight="1" spans="1:16" x14ac:dyDescent="0.25">
      <c r="A339" s="12">
        <f>_xlfn.AGGREGATE(3,3,$B$9:B339)</f>
        <v>313</v>
      </c>
      <c r="B339" s="12">
        <v>227060168</v>
      </c>
      <c r="C339" s="12" t="s">
        <v>426</v>
      </c>
      <c r="D339" s="12" t="s">
        <v>72</v>
      </c>
      <c r="E339" s="13"/>
      <c r="F339" s="13"/>
      <c r="G339" s="14"/>
      <c r="H339" s="22" t="s">
        <v>351</v>
      </c>
    </row>
    <row r="340" ht="15.75" customHeight="1" spans="1:16" x14ac:dyDescent="0.25">
      <c r="A340" s="12">
        <f>_xlfn.AGGREGATE(3,3,$B$9:B340)</f>
        <v>314</v>
      </c>
      <c r="B340" s="12">
        <v>227060169</v>
      </c>
      <c r="C340" s="12" t="s">
        <v>427</v>
      </c>
      <c r="D340" s="12" t="s">
        <v>419</v>
      </c>
      <c r="E340" s="13"/>
      <c r="F340" s="13"/>
      <c r="G340" s="14"/>
      <c r="H340" s="22" t="s">
        <v>351</v>
      </c>
    </row>
    <row r="341" ht="15.75" customHeight="1" spans="1:16" x14ac:dyDescent="0.25">
      <c r="A341" s="12">
        <f>_xlfn.AGGREGATE(3,3,$B$9:B341)</f>
        <v>315</v>
      </c>
      <c r="B341" s="12">
        <v>227060171</v>
      </c>
      <c r="C341" s="12" t="s">
        <v>428</v>
      </c>
      <c r="D341" s="12" t="s">
        <v>66</v>
      </c>
      <c r="E341" s="13"/>
      <c r="F341" s="13"/>
      <c r="G341" s="14"/>
      <c r="H341" s="22" t="s">
        <v>351</v>
      </c>
    </row>
    <row r="342" ht="15.75" customHeight="1" spans="1:16" x14ac:dyDescent="0.25">
      <c r="A342" s="12">
        <f>_xlfn.AGGREGATE(3,3,$B$9:B342)</f>
        <v>316</v>
      </c>
      <c r="B342" s="12">
        <v>227060172</v>
      </c>
      <c r="C342" s="12" t="s">
        <v>78</v>
      </c>
      <c r="D342" s="12" t="s">
        <v>122</v>
      </c>
      <c r="E342" s="13"/>
      <c r="F342" s="13"/>
      <c r="G342" s="14"/>
      <c r="H342" s="22" t="s">
        <v>351</v>
      </c>
    </row>
    <row r="343" ht="15.75" customHeight="1" spans="1:16" x14ac:dyDescent="0.25">
      <c r="A343" s="12">
        <f>_xlfn.AGGREGATE(3,3,$B$9:B343)</f>
        <v>317</v>
      </c>
      <c r="B343" s="12">
        <v>227060084</v>
      </c>
      <c r="C343" s="12" t="s">
        <v>429</v>
      </c>
      <c r="D343" s="12" t="s">
        <v>334</v>
      </c>
      <c r="E343" s="13"/>
      <c r="F343" s="13"/>
      <c r="G343" s="14" t="str">
        <f>$G$337</f>
        <v>Trừ 10 điểm chưa CNTTSV</v>
      </c>
      <c r="H343" s="22" t="s">
        <v>430</v>
      </c>
    </row>
    <row r="344" ht="15.75" customHeight="1" spans="1:16" x14ac:dyDescent="0.25">
      <c r="A344" s="12">
        <f>_xlfn.AGGREGATE(3,3,$B$9:B344)</f>
        <v>318</v>
      </c>
      <c r="B344" s="12">
        <v>227060085</v>
      </c>
      <c r="C344" s="12" t="s">
        <v>279</v>
      </c>
      <c r="D344" s="12" t="s">
        <v>30</v>
      </c>
      <c r="E344" s="13"/>
      <c r="F344" s="13"/>
      <c r="G344" s="14"/>
      <c r="H344" s="22" t="s">
        <v>430</v>
      </c>
    </row>
    <row r="345" ht="15.75" customHeight="1" spans="1:16" x14ac:dyDescent="0.25">
      <c r="A345" s="12">
        <f>_xlfn.AGGREGATE(3,3,$B$9:B345)</f>
        <v>319</v>
      </c>
      <c r="B345" s="12">
        <v>227060086</v>
      </c>
      <c r="C345" s="12" t="s">
        <v>431</v>
      </c>
      <c r="D345" s="12" t="s">
        <v>70</v>
      </c>
      <c r="E345" s="13"/>
      <c r="F345" s="13"/>
      <c r="G345" s="14"/>
      <c r="H345" s="22" t="s">
        <v>430</v>
      </c>
    </row>
    <row r="346" ht="15.75" customHeight="1" spans="1:16" x14ac:dyDescent="0.25">
      <c r="A346" s="12">
        <f>_xlfn.AGGREGATE(3,3,$B$9:B346)</f>
        <v>320</v>
      </c>
      <c r="B346" s="12">
        <v>227060087</v>
      </c>
      <c r="C346" s="12" t="s">
        <v>432</v>
      </c>
      <c r="D346" s="12" t="s">
        <v>66</v>
      </c>
      <c r="E346" s="13"/>
      <c r="F346" s="13"/>
      <c r="G346" s="14" t="str">
        <f>$G$337</f>
        <v>Trừ 10 điểm chưa CNTTSV</v>
      </c>
      <c r="H346" s="22" t="s">
        <v>430</v>
      </c>
    </row>
    <row r="347" ht="15.75" customHeight="1" spans="1:16" x14ac:dyDescent="0.25">
      <c r="A347" s="12">
        <f>_xlfn.AGGREGATE(3,3,$B$9:B347)</f>
        <v>321</v>
      </c>
      <c r="B347" s="12">
        <v>227060088</v>
      </c>
      <c r="C347" s="12" t="s">
        <v>433</v>
      </c>
      <c r="D347" s="12" t="s">
        <v>107</v>
      </c>
      <c r="E347" s="13"/>
      <c r="F347" s="13"/>
      <c r="G347" s="14"/>
      <c r="H347" s="22" t="s">
        <v>430</v>
      </c>
    </row>
    <row r="348" ht="15.75" customHeight="1" spans="1:16" x14ac:dyDescent="0.25">
      <c r="A348" s="12">
        <f>_xlfn.AGGREGATE(3,3,$B$9:B348)</f>
        <v>322</v>
      </c>
      <c r="B348" s="12">
        <v>227060089</v>
      </c>
      <c r="C348" s="12" t="s">
        <v>324</v>
      </c>
      <c r="D348" s="12" t="s">
        <v>434</v>
      </c>
      <c r="E348" s="13"/>
      <c r="F348" s="13"/>
      <c r="G348" s="14" t="str">
        <f>$G$337</f>
        <v>Trừ 10 điểm chưa CNTTSV</v>
      </c>
      <c r="H348" s="22" t="s">
        <v>430</v>
      </c>
    </row>
    <row r="349" ht="15.75" customHeight="1" spans="1:16" x14ac:dyDescent="0.25">
      <c r="A349" s="12">
        <f>_xlfn.AGGREGATE(3,3,$B$9:B349)</f>
        <v>323</v>
      </c>
      <c r="B349" s="12">
        <v>227060090</v>
      </c>
      <c r="C349" s="12" t="s">
        <v>435</v>
      </c>
      <c r="D349" s="12" t="s">
        <v>15</v>
      </c>
      <c r="E349" s="13"/>
      <c r="F349" s="13"/>
      <c r="G349" s="14" t="str">
        <f>$G$337</f>
        <v>Trừ 10 điểm chưa CNTTSV</v>
      </c>
      <c r="H349" s="22" t="s">
        <v>430</v>
      </c>
    </row>
    <row r="350" ht="15.75" customHeight="1" spans="1:16" x14ac:dyDescent="0.25">
      <c r="A350" s="12">
        <f>_xlfn.AGGREGATE(3,3,$B$9:B350)</f>
        <v>324</v>
      </c>
      <c r="B350" s="12">
        <v>227060091</v>
      </c>
      <c r="C350" s="12" t="s">
        <v>436</v>
      </c>
      <c r="D350" s="12" t="s">
        <v>104</v>
      </c>
      <c r="E350" s="13"/>
      <c r="F350" s="13"/>
      <c r="G350" s="14"/>
      <c r="H350" s="22" t="s">
        <v>430</v>
      </c>
    </row>
    <row r="351" ht="15.75" customHeight="1" spans="1:16" x14ac:dyDescent="0.25">
      <c r="A351" s="12">
        <f>_xlfn.AGGREGATE(3,3,$B$9:B351)</f>
        <v>325</v>
      </c>
      <c r="B351" s="12">
        <v>227060092</v>
      </c>
      <c r="C351" s="12" t="s">
        <v>437</v>
      </c>
      <c r="D351" s="12" t="s">
        <v>24</v>
      </c>
      <c r="E351" s="13"/>
      <c r="F351" s="13"/>
      <c r="G351" s="14"/>
      <c r="H351" s="22" t="s">
        <v>430</v>
      </c>
    </row>
    <row r="352" ht="15.75" customHeight="1" spans="1:16" x14ac:dyDescent="0.25">
      <c r="A352" s="12">
        <f>_xlfn.AGGREGATE(3,3,$B$9:B352)</f>
        <v>326</v>
      </c>
      <c r="B352" s="12">
        <v>227060093</v>
      </c>
      <c r="C352" s="12" t="s">
        <v>438</v>
      </c>
      <c r="D352" s="12" t="s">
        <v>43</v>
      </c>
      <c r="E352" s="13"/>
      <c r="F352" s="13"/>
      <c r="G352" s="14"/>
      <c r="H352" s="22" t="s">
        <v>430</v>
      </c>
    </row>
    <row r="353" ht="15.75" customHeight="1" spans="1:16" x14ac:dyDescent="0.25">
      <c r="A353" s="12">
        <f>_xlfn.AGGREGATE(3,3,$B$9:B353)</f>
        <v>327</v>
      </c>
      <c r="B353" s="12">
        <v>227060096</v>
      </c>
      <c r="C353" s="12" t="s">
        <v>439</v>
      </c>
      <c r="D353" s="12" t="s">
        <v>187</v>
      </c>
      <c r="E353" s="13"/>
      <c r="F353" s="13"/>
      <c r="G353" s="14" t="str">
        <f>$G$337</f>
        <v>Trừ 10 điểm chưa CNTTSV</v>
      </c>
      <c r="H353" s="22" t="s">
        <v>430</v>
      </c>
    </row>
    <row r="354" ht="15.75" customHeight="1" spans="1:16" x14ac:dyDescent="0.25">
      <c r="A354" s="12">
        <f>_xlfn.AGGREGATE(3,3,$B$9:B354)</f>
        <v>328</v>
      </c>
      <c r="B354" s="12">
        <v>227060098</v>
      </c>
      <c r="C354" s="12" t="s">
        <v>439</v>
      </c>
      <c r="D354" s="12" t="s">
        <v>382</v>
      </c>
      <c r="E354" s="13"/>
      <c r="F354" s="13"/>
      <c r="G354" s="14"/>
      <c r="H354" s="22" t="s">
        <v>430</v>
      </c>
    </row>
    <row r="355" ht="15.75" customHeight="1" spans="1:16" x14ac:dyDescent="0.25">
      <c r="A355" s="12">
        <f>_xlfn.AGGREGATE(3,3,$B$9:B355)</f>
        <v>329</v>
      </c>
      <c r="B355" s="12">
        <v>227060099</v>
      </c>
      <c r="C355" s="12" t="s">
        <v>440</v>
      </c>
      <c r="D355" s="12" t="s">
        <v>109</v>
      </c>
      <c r="E355" s="13"/>
      <c r="F355" s="13"/>
      <c r="G355" s="14"/>
      <c r="H355" s="22" t="s">
        <v>430</v>
      </c>
    </row>
    <row r="356" ht="15.75" customHeight="1" spans="1:16" x14ac:dyDescent="0.25">
      <c r="A356" s="12">
        <f>_xlfn.AGGREGATE(3,3,$B$9:B356)</f>
        <v>330</v>
      </c>
      <c r="B356" s="12">
        <v>227060100</v>
      </c>
      <c r="C356" s="12" t="s">
        <v>441</v>
      </c>
      <c r="D356" s="12" t="s">
        <v>442</v>
      </c>
      <c r="E356" s="13"/>
      <c r="F356" s="13"/>
      <c r="G356" s="14"/>
      <c r="H356" s="22" t="s">
        <v>430</v>
      </c>
    </row>
    <row r="357" ht="15.75" customHeight="1" spans="1:16" x14ac:dyDescent="0.25">
      <c r="A357" s="12">
        <f>_xlfn.AGGREGATE(3,3,$B$9:B357)</f>
        <v>331</v>
      </c>
      <c r="B357" s="12">
        <v>227060101</v>
      </c>
      <c r="C357" s="12" t="s">
        <v>386</v>
      </c>
      <c r="D357" s="12" t="s">
        <v>143</v>
      </c>
      <c r="E357" s="13"/>
      <c r="F357" s="13"/>
      <c r="G357" s="14"/>
      <c r="H357" s="22" t="s">
        <v>430</v>
      </c>
    </row>
    <row r="358" ht="15.75" customHeight="1" spans="1:16" x14ac:dyDescent="0.25">
      <c r="A358" s="12">
        <f>_xlfn.AGGREGATE(3,3,$B$9:B358)</f>
        <v>332</v>
      </c>
      <c r="B358" s="12">
        <v>227060102</v>
      </c>
      <c r="C358" s="12" t="s">
        <v>443</v>
      </c>
      <c r="D358" s="12" t="s">
        <v>444</v>
      </c>
      <c r="E358" s="13"/>
      <c r="F358" s="13"/>
      <c r="G358" s="14"/>
      <c r="H358" s="22" t="s">
        <v>430</v>
      </c>
    </row>
    <row r="359" ht="15.75" customHeight="1" spans="1:16" x14ac:dyDescent="0.25">
      <c r="A359" s="12">
        <f>_xlfn.AGGREGATE(3,3,$B$9:B359)</f>
        <v>333</v>
      </c>
      <c r="B359" s="12">
        <v>227060103</v>
      </c>
      <c r="C359" s="12" t="s">
        <v>445</v>
      </c>
      <c r="D359" s="12" t="s">
        <v>446</v>
      </c>
      <c r="E359" s="13"/>
      <c r="F359" s="13"/>
      <c r="G359" s="14" t="str">
        <f>$G$337</f>
        <v>Trừ 10 điểm chưa CNTTSV</v>
      </c>
      <c r="H359" s="22" t="s">
        <v>430</v>
      </c>
    </row>
    <row r="360" ht="15.75" customHeight="1" spans="1:16" x14ac:dyDescent="0.25">
      <c r="A360" s="12">
        <f>_xlfn.AGGREGATE(3,3,$B$9:B360)</f>
        <v>334</v>
      </c>
      <c r="B360" s="12">
        <v>227060104</v>
      </c>
      <c r="C360" s="12" t="s">
        <v>79</v>
      </c>
      <c r="D360" s="12" t="s">
        <v>447</v>
      </c>
      <c r="E360" s="13"/>
      <c r="F360" s="13"/>
      <c r="G360" s="14" t="str">
        <f>$G$337</f>
        <v>Trừ 10 điểm chưa CNTTSV</v>
      </c>
      <c r="H360" s="22" t="s">
        <v>430</v>
      </c>
    </row>
    <row r="361" ht="15.75" customHeight="1" spans="1:16" x14ac:dyDescent="0.25">
      <c r="A361" s="12">
        <f>_xlfn.AGGREGATE(3,3,$B$9:B361)</f>
        <v>335</v>
      </c>
      <c r="B361" s="12">
        <v>227060105</v>
      </c>
      <c r="C361" s="12" t="s">
        <v>448</v>
      </c>
      <c r="D361" s="12" t="s">
        <v>36</v>
      </c>
      <c r="E361" s="13"/>
      <c r="F361" s="13"/>
      <c r="G361" s="14"/>
      <c r="H361" s="22" t="s">
        <v>430</v>
      </c>
    </row>
    <row r="362" ht="15.75" customHeight="1" spans="1:16" x14ac:dyDescent="0.25">
      <c r="A362" s="12">
        <f>_xlfn.AGGREGATE(3,3,$B$9:B362)</f>
        <v>336</v>
      </c>
      <c r="B362" s="12">
        <v>227060106</v>
      </c>
      <c r="C362" s="12" t="s">
        <v>176</v>
      </c>
      <c r="D362" s="12" t="s">
        <v>394</v>
      </c>
      <c r="E362" s="13"/>
      <c r="F362" s="13"/>
      <c r="G362" s="14"/>
      <c r="H362" s="22" t="s">
        <v>430</v>
      </c>
    </row>
    <row r="363" ht="15.75" customHeight="1" spans="1:16" x14ac:dyDescent="0.25">
      <c r="A363" s="12">
        <f>_xlfn.AGGREGATE(3,3,$B$9:B363)</f>
        <v>337</v>
      </c>
      <c r="B363" s="12">
        <v>227060107</v>
      </c>
      <c r="C363" s="12" t="s">
        <v>449</v>
      </c>
      <c r="D363" s="12" t="s">
        <v>62</v>
      </c>
      <c r="E363" s="13"/>
      <c r="F363" s="13"/>
      <c r="G363" s="14"/>
      <c r="H363" s="22" t="s">
        <v>430</v>
      </c>
    </row>
    <row r="364" ht="15.75" customHeight="1" spans="1:16" x14ac:dyDescent="0.25">
      <c r="A364" s="12">
        <f>_xlfn.AGGREGATE(3,3,$B$9:B364)</f>
        <v>338</v>
      </c>
      <c r="B364" s="12">
        <v>227060108</v>
      </c>
      <c r="C364" s="12" t="s">
        <v>450</v>
      </c>
      <c r="D364" s="12" t="s">
        <v>451</v>
      </c>
      <c r="E364" s="13"/>
      <c r="F364" s="13"/>
      <c r="G364" s="14"/>
      <c r="H364" s="22" t="s">
        <v>430</v>
      </c>
    </row>
    <row r="365" ht="15.75" customHeight="1" spans="1:16" x14ac:dyDescent="0.25">
      <c r="A365" s="12">
        <f>_xlfn.AGGREGATE(3,3,$B$9:B365)</f>
        <v>339</v>
      </c>
      <c r="B365" s="12">
        <v>227060109</v>
      </c>
      <c r="C365" s="12" t="s">
        <v>452</v>
      </c>
      <c r="D365" s="12" t="s">
        <v>453</v>
      </c>
      <c r="E365" s="13"/>
      <c r="F365" s="13"/>
      <c r="G365" s="14" t="str">
        <f>$G$337</f>
        <v>Trừ 10 điểm chưa CNTTSV</v>
      </c>
      <c r="H365" s="22" t="s">
        <v>430</v>
      </c>
    </row>
    <row r="366" ht="15.75" customHeight="1" spans="1:16" x14ac:dyDescent="0.25">
      <c r="A366" s="12">
        <f>_xlfn.AGGREGATE(3,3,$B$9:B366)</f>
        <v>340</v>
      </c>
      <c r="B366" s="12">
        <v>227060110</v>
      </c>
      <c r="C366" s="12" t="s">
        <v>454</v>
      </c>
      <c r="D366" s="12" t="s">
        <v>70</v>
      </c>
      <c r="E366" s="13"/>
      <c r="F366" s="13"/>
      <c r="G366" s="14"/>
      <c r="H366" s="22" t="s">
        <v>430</v>
      </c>
    </row>
    <row r="367" ht="15.75" customHeight="1" spans="1:16" x14ac:dyDescent="0.25">
      <c r="A367" s="12">
        <f>_xlfn.AGGREGATE(3,3,$B$9:B367)</f>
        <v>341</v>
      </c>
      <c r="B367" s="12">
        <v>227060111</v>
      </c>
      <c r="C367" s="12" t="s">
        <v>37</v>
      </c>
      <c r="D367" s="12" t="s">
        <v>455</v>
      </c>
      <c r="E367" s="13"/>
      <c r="F367" s="13"/>
      <c r="G367" s="14"/>
      <c r="H367" s="22" t="s">
        <v>430</v>
      </c>
    </row>
    <row r="368" ht="15.75" customHeight="1" spans="1:16" x14ac:dyDescent="0.25">
      <c r="A368" s="12">
        <f>_xlfn.AGGREGATE(3,3,$B$9:B368)</f>
        <v>342</v>
      </c>
      <c r="B368" s="12">
        <v>227060113</v>
      </c>
      <c r="C368" s="12" t="s">
        <v>456</v>
      </c>
      <c r="D368" s="12" t="s">
        <v>457</v>
      </c>
      <c r="E368" s="13"/>
      <c r="F368" s="13"/>
      <c r="G368" s="14" t="str">
        <f>$G$337</f>
        <v>Trừ 10 điểm chưa CNTTSV</v>
      </c>
      <c r="H368" s="22" t="s">
        <v>430</v>
      </c>
    </row>
    <row r="369" ht="15.75" customHeight="1" spans="1:16" x14ac:dyDescent="0.25">
      <c r="A369" s="12">
        <f>_xlfn.AGGREGATE(3,3,$B$9:B369)</f>
        <v>343</v>
      </c>
      <c r="B369" s="12">
        <v>227060114</v>
      </c>
      <c r="C369" s="12" t="s">
        <v>458</v>
      </c>
      <c r="D369" s="12" t="s">
        <v>126</v>
      </c>
      <c r="E369" s="13"/>
      <c r="F369" s="13"/>
      <c r="G369" s="14"/>
      <c r="H369" s="22" t="s">
        <v>430</v>
      </c>
    </row>
    <row r="370" ht="15.75" customHeight="1" spans="1:16" x14ac:dyDescent="0.25">
      <c r="A370" s="12">
        <f>_xlfn.AGGREGATE(3,3,$B$9:B370)</f>
        <v>344</v>
      </c>
      <c r="B370" s="12">
        <v>227060115</v>
      </c>
      <c r="C370" s="12" t="s">
        <v>337</v>
      </c>
      <c r="D370" s="12" t="s">
        <v>217</v>
      </c>
      <c r="E370" s="13"/>
      <c r="F370" s="13"/>
      <c r="G370" s="14" t="str">
        <f>$G$337</f>
        <v>Trừ 10 điểm chưa CNTTSV</v>
      </c>
      <c r="H370" s="22" t="s">
        <v>430</v>
      </c>
    </row>
    <row r="371" ht="15.75" customHeight="1" spans="1:16" x14ac:dyDescent="0.25">
      <c r="A371" s="12">
        <f>_xlfn.AGGREGATE(3,3,$B$9:B371)</f>
        <v>345</v>
      </c>
      <c r="B371" s="12">
        <v>227060117</v>
      </c>
      <c r="C371" s="12" t="s">
        <v>133</v>
      </c>
      <c r="D371" s="12" t="s">
        <v>459</v>
      </c>
      <c r="E371" s="13"/>
      <c r="F371" s="13"/>
      <c r="G371" s="14"/>
      <c r="H371" s="22" t="s">
        <v>430</v>
      </c>
    </row>
    <row r="372" ht="15.75" customHeight="1" spans="1:16" x14ac:dyDescent="0.25">
      <c r="A372" s="12">
        <f>_xlfn.AGGREGATE(3,3,$B$9:B372)</f>
        <v>346</v>
      </c>
      <c r="B372" s="12">
        <v>227060119</v>
      </c>
      <c r="C372" s="12" t="s">
        <v>393</v>
      </c>
      <c r="D372" s="12" t="s">
        <v>323</v>
      </c>
      <c r="E372" s="13"/>
      <c r="F372" s="13"/>
      <c r="G372" s="14"/>
      <c r="H372" s="22" t="s">
        <v>430</v>
      </c>
    </row>
    <row r="373" ht="15.75" customHeight="1" spans="1:16" x14ac:dyDescent="0.25">
      <c r="A373" s="12">
        <f>_xlfn.AGGREGATE(3,3,$B$9:B373)</f>
        <v>347</v>
      </c>
      <c r="B373" s="12">
        <v>227060120</v>
      </c>
      <c r="C373" s="12" t="s">
        <v>379</v>
      </c>
      <c r="D373" s="12" t="s">
        <v>460</v>
      </c>
      <c r="E373" s="13"/>
      <c r="F373" s="13"/>
      <c r="G373" s="14"/>
      <c r="H373" s="22" t="s">
        <v>430</v>
      </c>
    </row>
    <row r="374" ht="15.75" customHeight="1" spans="1:16" x14ac:dyDescent="0.25">
      <c r="A374" s="12">
        <f>_xlfn.AGGREGATE(3,3,$B$9:B374)</f>
        <v>348</v>
      </c>
      <c r="B374" s="12">
        <v>227060121</v>
      </c>
      <c r="C374" s="12" t="s">
        <v>306</v>
      </c>
      <c r="D374" s="12" t="s">
        <v>48</v>
      </c>
      <c r="E374" s="13"/>
      <c r="F374" s="13"/>
      <c r="G374" s="14"/>
      <c r="H374" s="22" t="s">
        <v>430</v>
      </c>
    </row>
    <row r="375" ht="15.75" customHeight="1" spans="1:16" x14ac:dyDescent="0.25">
      <c r="A375" s="12">
        <f>_xlfn.AGGREGATE(3,3,$B$9:B375)</f>
        <v>349</v>
      </c>
      <c r="B375" s="12">
        <v>227060122</v>
      </c>
      <c r="C375" s="12" t="s">
        <v>461</v>
      </c>
      <c r="D375" s="12" t="s">
        <v>462</v>
      </c>
      <c r="E375" s="13"/>
      <c r="F375" s="13"/>
      <c r="G375" s="14"/>
      <c r="H375" s="22" t="s">
        <v>430</v>
      </c>
    </row>
    <row r="376" ht="15.75" customHeight="1" spans="1:16" x14ac:dyDescent="0.25">
      <c r="A376" s="12">
        <f>_xlfn.AGGREGATE(3,3,$B$9:B376)</f>
        <v>350</v>
      </c>
      <c r="B376" s="12">
        <v>227060124</v>
      </c>
      <c r="C376" s="12" t="s">
        <v>463</v>
      </c>
      <c r="D376" s="12" t="s">
        <v>220</v>
      </c>
      <c r="E376" s="13"/>
      <c r="F376" s="13"/>
      <c r="G376" s="14" t="str">
        <f>$G$370</f>
        <v>Trừ 10 điểm chưa CNTTSV</v>
      </c>
      <c r="H376" s="22" t="s">
        <v>430</v>
      </c>
    </row>
    <row r="377" ht="15.75" customHeight="1" spans="1:16" x14ac:dyDescent="0.25">
      <c r="A377" s="12">
        <f>_xlfn.AGGREGATE(3,3,$B$9:B377)</f>
        <v>351</v>
      </c>
      <c r="B377" s="12">
        <v>227060125</v>
      </c>
      <c r="C377" s="12" t="s">
        <v>464</v>
      </c>
      <c r="D377" s="12" t="s">
        <v>40</v>
      </c>
      <c r="E377" s="13"/>
      <c r="F377" s="13"/>
      <c r="G377" s="14"/>
      <c r="H377" s="22" t="s">
        <v>430</v>
      </c>
    </row>
    <row r="378" ht="15.75" customHeight="1" spans="1:16" x14ac:dyDescent="0.25">
      <c r="A378" s="12">
        <f>_xlfn.AGGREGATE(3,3,$B$9:B378)</f>
        <v>352</v>
      </c>
      <c r="B378" s="12">
        <v>227060126</v>
      </c>
      <c r="C378" s="12" t="s">
        <v>465</v>
      </c>
      <c r="D378" s="12" t="s">
        <v>171</v>
      </c>
      <c r="E378" s="13"/>
      <c r="F378" s="13"/>
      <c r="G378" s="14"/>
      <c r="H378" s="22" t="s">
        <v>430</v>
      </c>
    </row>
    <row r="379" ht="15.75" customHeight="1" spans="1:16" x14ac:dyDescent="0.25">
      <c r="A379" s="12">
        <f>_xlfn.AGGREGATE(3,3,$B$9:B379)</f>
        <v>353</v>
      </c>
      <c r="B379" s="12">
        <v>227060127</v>
      </c>
      <c r="C379" s="12" t="s">
        <v>466</v>
      </c>
      <c r="D379" s="12" t="s">
        <v>60</v>
      </c>
      <c r="E379" s="13"/>
      <c r="F379" s="13"/>
      <c r="G379" s="14" t="str">
        <f>$G$337</f>
        <v>Trừ 10 điểm chưa CNTTSV</v>
      </c>
      <c r="H379" s="22" t="s">
        <v>430</v>
      </c>
    </row>
    <row r="380" ht="15.75" customHeight="1" spans="1:16" x14ac:dyDescent="0.25">
      <c r="A380" s="12">
        <f>_xlfn.AGGREGATE(3,3,$B$9:B380)</f>
        <v>354</v>
      </c>
      <c r="B380" s="12">
        <v>227060128</v>
      </c>
      <c r="C380" s="12" t="s">
        <v>467</v>
      </c>
      <c r="D380" s="12" t="s">
        <v>468</v>
      </c>
      <c r="E380" s="13"/>
      <c r="F380" s="13"/>
      <c r="G380" s="14" t="str">
        <f>$G$337</f>
        <v>Trừ 10 điểm chưa CNTTSV</v>
      </c>
      <c r="H380" s="22" t="s">
        <v>430</v>
      </c>
    </row>
    <row r="381" ht="15.75" customHeight="1" spans="1:16" x14ac:dyDescent="0.25">
      <c r="A381" s="12">
        <f>_xlfn.AGGREGATE(3,3,$B$9:B381)</f>
        <v>355</v>
      </c>
      <c r="B381" s="12">
        <v>227060129</v>
      </c>
      <c r="C381" s="12" t="s">
        <v>469</v>
      </c>
      <c r="D381" s="12" t="s">
        <v>470</v>
      </c>
      <c r="E381" s="13"/>
      <c r="F381" s="13"/>
      <c r="G381" s="14" t="str">
        <f>$G$337</f>
        <v>Trừ 10 điểm chưa CNTTSV</v>
      </c>
      <c r="H381" s="22" t="s">
        <v>430</v>
      </c>
    </row>
    <row r="382" ht="15.75" customHeight="1" spans="1:16" x14ac:dyDescent="0.25">
      <c r="A382" s="12">
        <f>_xlfn.AGGREGATE(3,3,$B$9:B382)</f>
        <v>356</v>
      </c>
      <c r="B382" s="12">
        <v>227060131</v>
      </c>
      <c r="C382" s="12" t="s">
        <v>471</v>
      </c>
      <c r="D382" s="12" t="s">
        <v>357</v>
      </c>
      <c r="E382" s="13"/>
      <c r="F382" s="13"/>
      <c r="G382" s="14"/>
      <c r="H382" s="22" t="s">
        <v>430</v>
      </c>
    </row>
    <row r="383" ht="15.75" customHeight="1" spans="1:16" x14ac:dyDescent="0.25">
      <c r="A383" s="12">
        <f>_xlfn.AGGREGATE(3,3,$B$9:B383)</f>
        <v>357</v>
      </c>
      <c r="B383" s="12">
        <v>227060133</v>
      </c>
      <c r="C383" s="12" t="s">
        <v>472</v>
      </c>
      <c r="D383" s="12" t="s">
        <v>174</v>
      </c>
      <c r="E383" s="13"/>
      <c r="F383" s="13"/>
      <c r="G383" s="14"/>
      <c r="H383" s="22" t="s">
        <v>430</v>
      </c>
    </row>
    <row r="384" ht="15.75" customHeight="1" spans="1:16" x14ac:dyDescent="0.25">
      <c r="A384" s="12">
        <f>_xlfn.AGGREGATE(3,3,$B$9:B384)</f>
        <v>358</v>
      </c>
      <c r="B384" s="12">
        <v>227060134</v>
      </c>
      <c r="C384" s="12" t="s">
        <v>229</v>
      </c>
      <c r="D384" s="12" t="s">
        <v>161</v>
      </c>
      <c r="E384" s="13"/>
      <c r="F384" s="13"/>
      <c r="G384" s="14"/>
      <c r="H384" s="22" t="s">
        <v>430</v>
      </c>
    </row>
    <row r="385" ht="15.75" customHeight="1" spans="1:16" x14ac:dyDescent="0.25">
      <c r="A385" s="12">
        <f>_xlfn.AGGREGATE(3,3,$B$9:B385)</f>
        <v>359</v>
      </c>
      <c r="B385" s="12">
        <v>227060135</v>
      </c>
      <c r="C385" s="12" t="s">
        <v>473</v>
      </c>
      <c r="D385" s="12" t="s">
        <v>84</v>
      </c>
      <c r="E385" s="13"/>
      <c r="F385" s="13"/>
      <c r="G385" s="14"/>
      <c r="H385" s="22" t="s">
        <v>430</v>
      </c>
    </row>
    <row r="386" ht="15.75" customHeight="1" spans="1:16" x14ac:dyDescent="0.25">
      <c r="A386" s="12">
        <f>_xlfn.AGGREGATE(3,3,$B$9:B386)</f>
        <v>360</v>
      </c>
      <c r="B386" s="12">
        <v>227060136</v>
      </c>
      <c r="C386" s="12" t="s">
        <v>164</v>
      </c>
      <c r="D386" s="12" t="s">
        <v>419</v>
      </c>
      <c r="E386" s="13"/>
      <c r="F386" s="13"/>
      <c r="G386" s="14"/>
      <c r="H386" s="22" t="s">
        <v>430</v>
      </c>
    </row>
    <row r="387" ht="15.75" customHeight="1" spans="1:16" x14ac:dyDescent="0.25">
      <c r="A387" s="12">
        <f>_xlfn.AGGREGATE(3,3,$B$9:B387)</f>
        <v>361</v>
      </c>
      <c r="B387" s="12">
        <v>227060139</v>
      </c>
      <c r="C387" s="12" t="s">
        <v>474</v>
      </c>
      <c r="D387" s="12" t="s">
        <v>116</v>
      </c>
      <c r="E387" s="13"/>
      <c r="F387" s="13"/>
      <c r="G387" s="14" t="str">
        <f>$G$337</f>
        <v>Trừ 10 điểm chưa CNTTSV</v>
      </c>
      <c r="H387" s="22" t="s">
        <v>430</v>
      </c>
    </row>
    <row r="388" ht="15.75" customHeight="1" spans="1:16" x14ac:dyDescent="0.25">
      <c r="A388" s="12">
        <f>_xlfn.AGGREGATE(3,3,$B$9:B388)</f>
        <v>362</v>
      </c>
      <c r="B388" s="12">
        <v>227060140</v>
      </c>
      <c r="C388" s="12" t="s">
        <v>475</v>
      </c>
      <c r="D388" s="12" t="s">
        <v>45</v>
      </c>
      <c r="E388" s="13"/>
      <c r="F388" s="13"/>
      <c r="G388" s="14"/>
      <c r="H388" s="22" t="s">
        <v>430</v>
      </c>
    </row>
    <row r="389" ht="15.75" customHeight="1" spans="1:16" x14ac:dyDescent="0.25">
      <c r="A389" s="12">
        <f>_xlfn.AGGREGATE(3,3,$B$9:B389)</f>
        <v>363</v>
      </c>
      <c r="B389" s="12">
        <v>227060141</v>
      </c>
      <c r="C389" s="12" t="s">
        <v>476</v>
      </c>
      <c r="D389" s="12" t="s">
        <v>477</v>
      </c>
      <c r="E389" s="13"/>
      <c r="F389" s="13"/>
      <c r="G389" s="14"/>
      <c r="H389" s="22" t="s">
        <v>430</v>
      </c>
    </row>
    <row r="390" ht="15.75" customHeight="1" spans="1:16" x14ac:dyDescent="0.25">
      <c r="A390" s="12">
        <f>_xlfn.AGGREGATE(3,3,$B$9:B390)</f>
        <v>364</v>
      </c>
      <c r="B390" s="12">
        <v>227060142</v>
      </c>
      <c r="C390" s="12" t="s">
        <v>478</v>
      </c>
      <c r="D390" s="12" t="s">
        <v>152</v>
      </c>
      <c r="E390" s="13"/>
      <c r="F390" s="13"/>
      <c r="G390" s="14" t="str">
        <f>$G$337</f>
        <v>Trừ 10 điểm chưa CNTTSV</v>
      </c>
      <c r="H390" s="22" t="s">
        <v>430</v>
      </c>
    </row>
    <row r="391" ht="15.75" customHeight="1" spans="1:16" x14ac:dyDescent="0.25">
      <c r="A391" s="12">
        <f>_xlfn.AGGREGATE(3,3,$B$9:B391)</f>
        <v>365</v>
      </c>
      <c r="B391" s="12">
        <v>227060144</v>
      </c>
      <c r="C391" s="12" t="s">
        <v>479</v>
      </c>
      <c r="D391" s="12" t="s">
        <v>480</v>
      </c>
      <c r="E391" s="13"/>
      <c r="F391" s="13"/>
      <c r="G391" s="14"/>
      <c r="H391" s="22" t="s">
        <v>430</v>
      </c>
    </row>
    <row r="392" ht="15.75" customHeight="1" spans="1:16" x14ac:dyDescent="0.25">
      <c r="A392" s="12">
        <f>_xlfn.AGGREGATE(3,3,$B$9:B392)</f>
        <v>366</v>
      </c>
      <c r="B392" s="12">
        <v>227060145</v>
      </c>
      <c r="C392" s="12" t="s">
        <v>481</v>
      </c>
      <c r="D392" s="12" t="s">
        <v>190</v>
      </c>
      <c r="E392" s="13"/>
      <c r="F392" s="13"/>
      <c r="G392" s="14"/>
      <c r="H392" s="22" t="s">
        <v>430</v>
      </c>
    </row>
    <row r="393" ht="15.75" customHeight="1" spans="1:16" x14ac:dyDescent="0.25">
      <c r="A393" s="12">
        <f>_xlfn.AGGREGATE(3,3,$B$9:B393)</f>
        <v>367</v>
      </c>
      <c r="B393" s="12">
        <v>227060146</v>
      </c>
      <c r="C393" s="12" t="s">
        <v>128</v>
      </c>
      <c r="D393" s="12" t="s">
        <v>482</v>
      </c>
      <c r="E393" s="13"/>
      <c r="F393" s="13"/>
      <c r="G393" s="14"/>
      <c r="H393" s="22" t="s">
        <v>430</v>
      </c>
    </row>
    <row r="394" ht="15.75" customHeight="1" spans="1:16" x14ac:dyDescent="0.25">
      <c r="A394" s="12">
        <f>_xlfn.AGGREGATE(3,3,$B$9:B394)</f>
        <v>368</v>
      </c>
      <c r="B394" s="12">
        <v>227060147</v>
      </c>
      <c r="C394" s="12" t="s">
        <v>115</v>
      </c>
      <c r="D394" s="12" t="s">
        <v>483</v>
      </c>
      <c r="E394" s="13"/>
      <c r="F394" s="13"/>
      <c r="G394" s="14"/>
      <c r="H394" s="22" t="s">
        <v>430</v>
      </c>
    </row>
    <row r="395" ht="15.75" customHeight="1" spans="1:16" x14ac:dyDescent="0.25">
      <c r="A395" s="12">
        <f>_xlfn.AGGREGATE(3,3,$B$9:B395)</f>
        <v>369</v>
      </c>
      <c r="B395" s="12">
        <v>227060148</v>
      </c>
      <c r="C395" s="12" t="s">
        <v>35</v>
      </c>
      <c r="D395" s="12" t="s">
        <v>484</v>
      </c>
      <c r="E395" s="13"/>
      <c r="F395" s="13"/>
      <c r="G395" s="14" t="str">
        <f>$G$337</f>
        <v>Trừ 10 điểm chưa CNTTSV</v>
      </c>
      <c r="H395" s="22" t="s">
        <v>430</v>
      </c>
    </row>
    <row r="396" ht="15.75" customHeight="1" spans="1:16" x14ac:dyDescent="0.25">
      <c r="A396" s="12">
        <f>_xlfn.AGGREGATE(3,3,$B$9:B396)</f>
        <v>370</v>
      </c>
      <c r="B396" s="12">
        <v>227060149</v>
      </c>
      <c r="C396" s="12" t="s">
        <v>485</v>
      </c>
      <c r="D396" s="12" t="s">
        <v>88</v>
      </c>
      <c r="E396" s="13"/>
      <c r="F396" s="13"/>
      <c r="G396" s="14" t="str">
        <f>$G$337</f>
        <v>Trừ 10 điểm chưa CNTTSV</v>
      </c>
      <c r="H396" s="22" t="s">
        <v>430</v>
      </c>
    </row>
    <row r="397" ht="15.75" customHeight="1" spans="1:16" x14ac:dyDescent="0.25">
      <c r="A397" s="12">
        <f>_xlfn.AGGREGATE(3,3,$B$9:B397)</f>
        <v>371</v>
      </c>
      <c r="B397" s="12">
        <v>227060150</v>
      </c>
      <c r="C397" s="12" t="s">
        <v>221</v>
      </c>
      <c r="D397" s="12" t="s">
        <v>43</v>
      </c>
      <c r="E397" s="13"/>
      <c r="F397" s="13"/>
      <c r="G397" s="14" t="str">
        <f>$G$337</f>
        <v>Trừ 10 điểm chưa CNTTSV</v>
      </c>
      <c r="H397" s="22" t="s">
        <v>430</v>
      </c>
    </row>
    <row r="398" ht="15.75" customHeight="1" spans="1:16" x14ac:dyDescent="0.25">
      <c r="A398" s="12">
        <f>_xlfn.AGGREGATE(3,3,$B$9:B398)</f>
        <v>372</v>
      </c>
      <c r="B398" s="12">
        <v>227060151</v>
      </c>
      <c r="C398" s="12" t="s">
        <v>486</v>
      </c>
      <c r="D398" s="12" t="s">
        <v>43</v>
      </c>
      <c r="E398" s="13"/>
      <c r="F398" s="13"/>
      <c r="G398" s="14"/>
      <c r="H398" s="22" t="s">
        <v>430</v>
      </c>
    </row>
    <row r="399" ht="15.75" customHeight="1" spans="1:16" x14ac:dyDescent="0.25">
      <c r="A399" s="12">
        <f>_xlfn.AGGREGATE(3,3,$B$9:B399)</f>
        <v>373</v>
      </c>
      <c r="B399" s="12">
        <v>227060152</v>
      </c>
      <c r="C399" s="12" t="s">
        <v>487</v>
      </c>
      <c r="D399" s="12" t="s">
        <v>488</v>
      </c>
      <c r="E399" s="13"/>
      <c r="F399" s="13"/>
      <c r="G399" s="14" t="str">
        <f>$G$337</f>
        <v>Trừ 10 điểm chưa CNTTSV</v>
      </c>
      <c r="H399" s="22" t="s">
        <v>430</v>
      </c>
    </row>
    <row r="400" ht="15.75" customHeight="1" spans="1:16" x14ac:dyDescent="0.25">
      <c r="A400" s="12">
        <f>_xlfn.AGGREGATE(3,3,$B$9:B400)</f>
        <v>374</v>
      </c>
      <c r="B400" s="12">
        <v>227060153</v>
      </c>
      <c r="C400" s="12" t="s">
        <v>489</v>
      </c>
      <c r="D400" s="12" t="s">
        <v>490</v>
      </c>
      <c r="E400" s="13"/>
      <c r="F400" s="13"/>
      <c r="G400" s="14"/>
      <c r="H400" s="22" t="s">
        <v>430</v>
      </c>
    </row>
    <row r="401" ht="15.75" customHeight="1" spans="1:16" x14ac:dyDescent="0.25">
      <c r="A401" s="12">
        <f>_xlfn.AGGREGATE(3,3,$B$9:B401)</f>
        <v>375</v>
      </c>
      <c r="B401" s="12">
        <v>227060154</v>
      </c>
      <c r="C401" s="12" t="s">
        <v>330</v>
      </c>
      <c r="D401" s="12" t="s">
        <v>64</v>
      </c>
      <c r="E401" s="13"/>
      <c r="F401" s="13"/>
      <c r="G401" s="14" t="str">
        <f>$G$337</f>
        <v>Trừ 10 điểm chưa CNTTSV</v>
      </c>
      <c r="H401" s="22" t="s">
        <v>430</v>
      </c>
    </row>
    <row r="402" ht="15.75" customHeight="1" spans="1:16" x14ac:dyDescent="0.25">
      <c r="A402" s="12">
        <f>_xlfn.AGGREGATE(3,3,$B$9:B402)</f>
        <v>376</v>
      </c>
      <c r="B402" s="12">
        <v>227060157</v>
      </c>
      <c r="C402" s="12" t="s">
        <v>277</v>
      </c>
      <c r="D402" s="12" t="s">
        <v>470</v>
      </c>
      <c r="E402" s="13"/>
      <c r="F402" s="13"/>
      <c r="G402" s="14" t="str">
        <f>$G$337</f>
        <v>Trừ 10 điểm chưa CNTTSV</v>
      </c>
      <c r="H402" s="22" t="s">
        <v>430</v>
      </c>
    </row>
    <row r="403" ht="15.75" customHeight="1" spans="1:16" x14ac:dyDescent="0.25">
      <c r="A403" s="12">
        <f>_xlfn.AGGREGATE(3,3,$B$9:B403)</f>
        <v>377</v>
      </c>
      <c r="B403" s="12">
        <v>227060158</v>
      </c>
      <c r="C403" s="12" t="s">
        <v>53</v>
      </c>
      <c r="D403" s="12" t="s">
        <v>72</v>
      </c>
      <c r="E403" s="13"/>
      <c r="F403" s="13"/>
      <c r="G403" s="14" t="str">
        <f>$G$337</f>
        <v>Trừ 10 điểm chưa CNTTSV</v>
      </c>
      <c r="H403" s="22" t="s">
        <v>430</v>
      </c>
    </row>
    <row r="404" ht="15.75" customHeight="1" spans="1:16" x14ac:dyDescent="0.25">
      <c r="A404" s="12">
        <f>_xlfn.AGGREGATE(3,3,$B$9:B404)</f>
        <v>378</v>
      </c>
      <c r="B404" s="12">
        <v>227060159</v>
      </c>
      <c r="C404" s="12" t="s">
        <v>491</v>
      </c>
      <c r="D404" s="12" t="s">
        <v>470</v>
      </c>
      <c r="E404" s="13"/>
      <c r="F404" s="13"/>
      <c r="G404" s="14" t="str">
        <f>$G$337</f>
        <v>Trừ 10 điểm chưa CNTTSV</v>
      </c>
      <c r="H404" s="22" t="s">
        <v>430</v>
      </c>
    </row>
    <row r="405" ht="15.75" customHeight="1" spans="1:16" x14ac:dyDescent="0.25">
      <c r="A405" s="12">
        <f>_xlfn.AGGREGATE(3,3,$B$9:B405)</f>
        <v>379</v>
      </c>
      <c r="B405" s="12">
        <v>227060161</v>
      </c>
      <c r="C405" s="12" t="s">
        <v>176</v>
      </c>
      <c r="D405" s="12" t="s">
        <v>492</v>
      </c>
      <c r="E405" s="13"/>
      <c r="F405" s="13"/>
      <c r="G405" s="14"/>
      <c r="H405" s="22" t="s">
        <v>430</v>
      </c>
    </row>
    <row r="406" ht="15.75" customHeight="1" spans="1:16" x14ac:dyDescent="0.25">
      <c r="A406" s="12">
        <f>_xlfn.AGGREGATE(3,3,$B$9:B406)</f>
        <v>380</v>
      </c>
      <c r="B406" s="12">
        <v>227060163</v>
      </c>
      <c r="C406" s="12" t="s">
        <v>493</v>
      </c>
      <c r="D406" s="12" t="s">
        <v>338</v>
      </c>
      <c r="E406" s="13"/>
      <c r="F406" s="13"/>
      <c r="G406" s="14"/>
      <c r="H406" s="22" t="s">
        <v>430</v>
      </c>
    </row>
    <row r="407" ht="15.75" customHeight="1" spans="1:16" x14ac:dyDescent="0.25">
      <c r="A407" s="12">
        <f>_xlfn.AGGREGATE(3,3,$B$9:B407)</f>
        <v>381</v>
      </c>
      <c r="B407" s="12">
        <v>227060165</v>
      </c>
      <c r="C407" s="12" t="s">
        <v>494</v>
      </c>
      <c r="D407" s="12" t="s">
        <v>206</v>
      </c>
      <c r="E407" s="13"/>
      <c r="F407" s="13"/>
      <c r="G407" s="14" t="str">
        <f>$G$337</f>
        <v>Trừ 10 điểm chưa CNTTSV</v>
      </c>
      <c r="H407" s="22" t="s">
        <v>430</v>
      </c>
    </row>
    <row r="408" ht="15.75" customHeight="1" spans="1:16" x14ac:dyDescent="0.25">
      <c r="A408" s="12">
        <f>_xlfn.AGGREGATE(3,3,$B$9:B408)</f>
        <v>382</v>
      </c>
      <c r="B408" s="12">
        <v>227060166</v>
      </c>
      <c r="C408" s="12" t="s">
        <v>495</v>
      </c>
      <c r="D408" s="12" t="s">
        <v>15</v>
      </c>
      <c r="E408" s="13"/>
      <c r="F408" s="13"/>
      <c r="G408" s="14"/>
      <c r="H408" s="22" t="s">
        <v>430</v>
      </c>
    </row>
    <row r="409" ht="15.75" customHeight="1" spans="1:16" x14ac:dyDescent="0.25">
      <c r="A409" s="12">
        <f>_xlfn.AGGREGATE(3,3,$B$9:B409)</f>
        <v>383</v>
      </c>
      <c r="B409" s="12">
        <v>227060177</v>
      </c>
      <c r="C409" s="12" t="s">
        <v>496</v>
      </c>
      <c r="D409" s="12" t="s">
        <v>143</v>
      </c>
      <c r="E409" s="13"/>
      <c r="F409" s="13"/>
      <c r="G409" s="14"/>
      <c r="H409" s="22" t="s">
        <v>430</v>
      </c>
    </row>
    <row r="410" ht="15.75" customHeight="1" spans="1:16" x14ac:dyDescent="0.25">
      <c r="A410" s="12">
        <f>_xlfn.AGGREGATE(3,3,$B$9:B410)</f>
        <v>384</v>
      </c>
      <c r="B410" s="12">
        <v>237060001</v>
      </c>
      <c r="C410" s="12" t="s">
        <v>296</v>
      </c>
      <c r="D410" s="12" t="s">
        <v>109</v>
      </c>
      <c r="E410" s="27"/>
      <c r="F410" s="13"/>
      <c r="G410" s="14"/>
      <c r="H410" s="22" t="s">
        <v>497</v>
      </c>
    </row>
    <row r="411" ht="15.75" customHeight="1" spans="1:16" x14ac:dyDescent="0.25">
      <c r="A411" s="12">
        <f>_xlfn.AGGREGATE(3,3,$B$9:B411)</f>
        <v>385</v>
      </c>
      <c r="B411" s="12">
        <v>237060002</v>
      </c>
      <c r="C411" s="12" t="s">
        <v>53</v>
      </c>
      <c r="D411" s="12" t="s">
        <v>66</v>
      </c>
      <c r="E411" s="27"/>
      <c r="F411" s="13"/>
      <c r="G411" s="14"/>
      <c r="H411" s="22" t="s">
        <v>497</v>
      </c>
    </row>
    <row r="412" ht="15.75" customHeight="1" spans="1:16" x14ac:dyDescent="0.25">
      <c r="A412" s="12">
        <f>_xlfn.AGGREGATE(3,3,$B$9:B412)</f>
        <v>386</v>
      </c>
      <c r="B412" s="12">
        <v>237060003</v>
      </c>
      <c r="C412" s="12" t="s">
        <v>498</v>
      </c>
      <c r="D412" s="12" t="s">
        <v>499</v>
      </c>
      <c r="E412" s="27"/>
      <c r="F412" s="13"/>
      <c r="G412" s="14"/>
      <c r="H412" s="22" t="s">
        <v>497</v>
      </c>
    </row>
    <row r="413" ht="15.75" customHeight="1" spans="1:16" x14ac:dyDescent="0.25">
      <c r="A413" s="12">
        <f>_xlfn.AGGREGATE(3,3,$B$9:B413)</f>
        <v>387</v>
      </c>
      <c r="B413" s="12">
        <v>237060004</v>
      </c>
      <c r="C413" s="12" t="s">
        <v>500</v>
      </c>
      <c r="D413" s="12" t="s">
        <v>30</v>
      </c>
      <c r="E413" s="27"/>
      <c r="F413" s="13"/>
      <c r="G413" s="14"/>
      <c r="H413" s="22" t="s">
        <v>497</v>
      </c>
    </row>
    <row r="414" ht="15.75" customHeight="1" spans="1:16" x14ac:dyDescent="0.25">
      <c r="A414" s="12">
        <f>_xlfn.AGGREGATE(3,3,$B$9:B414)</f>
        <v>388</v>
      </c>
      <c r="B414" s="12">
        <v>237060005</v>
      </c>
      <c r="C414" s="12" t="s">
        <v>27</v>
      </c>
      <c r="D414" s="12" t="s">
        <v>217</v>
      </c>
      <c r="E414" s="27"/>
      <c r="F414" s="13"/>
      <c r="G414" s="14"/>
      <c r="H414" s="22" t="s">
        <v>497</v>
      </c>
    </row>
    <row r="415" ht="15.75" customHeight="1" spans="1:16" x14ac:dyDescent="0.25">
      <c r="A415" s="12">
        <f>_xlfn.AGGREGATE(3,3,$B$9:B415)</f>
        <v>389</v>
      </c>
      <c r="B415" s="12">
        <v>237060007</v>
      </c>
      <c r="C415" s="12" t="s">
        <v>35</v>
      </c>
      <c r="D415" s="12" t="s">
        <v>116</v>
      </c>
      <c r="E415" s="27"/>
      <c r="F415" s="13"/>
      <c r="G415" s="14"/>
      <c r="H415" s="22" t="s">
        <v>497</v>
      </c>
    </row>
    <row r="416" ht="15.75" customHeight="1" spans="1:16" x14ac:dyDescent="0.25">
      <c r="A416" s="12">
        <f>_xlfn.AGGREGATE(3,3,$B$9:B416)</f>
        <v>390</v>
      </c>
      <c r="B416" s="12">
        <v>237060008</v>
      </c>
      <c r="C416" s="12" t="s">
        <v>493</v>
      </c>
      <c r="D416" s="12" t="s">
        <v>387</v>
      </c>
      <c r="E416" s="27"/>
      <c r="F416" s="13"/>
      <c r="G416" s="14"/>
      <c r="H416" s="22" t="s">
        <v>497</v>
      </c>
    </row>
    <row r="417" ht="15.75" customHeight="1" spans="1:16" x14ac:dyDescent="0.25">
      <c r="A417" s="12">
        <f>_xlfn.AGGREGATE(3,3,$B$9:B417)</f>
        <v>391</v>
      </c>
      <c r="B417" s="12">
        <v>237060009</v>
      </c>
      <c r="C417" s="12" t="s">
        <v>501</v>
      </c>
      <c r="D417" s="12" t="s">
        <v>107</v>
      </c>
      <c r="E417" s="27"/>
      <c r="F417" s="13"/>
      <c r="G417" s="14"/>
      <c r="H417" s="22" t="s">
        <v>497</v>
      </c>
    </row>
    <row r="418" ht="15.75" customHeight="1" spans="1:16" x14ac:dyDescent="0.25">
      <c r="A418" s="12">
        <f>_xlfn.AGGREGATE(3,3,$B$9:B418)</f>
        <v>392</v>
      </c>
      <c r="B418" s="12">
        <v>237060011</v>
      </c>
      <c r="C418" s="12" t="s">
        <v>502</v>
      </c>
      <c r="D418" s="12" t="s">
        <v>66</v>
      </c>
      <c r="E418" s="27"/>
      <c r="F418" s="13"/>
      <c r="G418" s="14"/>
      <c r="H418" s="22" t="s">
        <v>497</v>
      </c>
    </row>
    <row r="419" ht="15.75" customHeight="1" spans="1:16" x14ac:dyDescent="0.25">
      <c r="A419" s="12">
        <f>_xlfn.AGGREGATE(3,3,$B$9:B419)</f>
        <v>393</v>
      </c>
      <c r="B419" s="12">
        <v>237060012</v>
      </c>
      <c r="C419" s="12" t="s">
        <v>33</v>
      </c>
      <c r="D419" s="12" t="s">
        <v>171</v>
      </c>
      <c r="E419" s="27"/>
      <c r="F419" s="13"/>
      <c r="G419" s="14"/>
      <c r="H419" s="22" t="s">
        <v>497</v>
      </c>
    </row>
    <row r="420" ht="15.75" customHeight="1" spans="1:16" x14ac:dyDescent="0.25">
      <c r="A420" s="12">
        <f>_xlfn.AGGREGATE(3,3,$B$9:B420)</f>
        <v>394</v>
      </c>
      <c r="B420" s="12">
        <v>237060014</v>
      </c>
      <c r="C420" s="12" t="s">
        <v>376</v>
      </c>
      <c r="D420" s="12" t="s">
        <v>52</v>
      </c>
      <c r="E420" s="27"/>
      <c r="F420" s="13"/>
      <c r="G420" s="14"/>
      <c r="H420" s="22" t="s">
        <v>497</v>
      </c>
    </row>
    <row r="421" ht="15.75" customHeight="1" spans="1:16" x14ac:dyDescent="0.25">
      <c r="A421" s="12">
        <f>_xlfn.AGGREGATE(3,3,$B$9:B421)</f>
        <v>395</v>
      </c>
      <c r="B421" s="12">
        <v>237060017</v>
      </c>
      <c r="C421" s="12" t="s">
        <v>449</v>
      </c>
      <c r="D421" s="12" t="s">
        <v>126</v>
      </c>
      <c r="E421" s="27"/>
      <c r="F421" s="13"/>
      <c r="G421" s="14"/>
      <c r="H421" s="22" t="s">
        <v>497</v>
      </c>
    </row>
    <row r="422" ht="15.75" customHeight="1" spans="1:16" x14ac:dyDescent="0.25">
      <c r="A422" s="12">
        <f>_xlfn.AGGREGATE(3,3,$B$9:B422)</f>
        <v>396</v>
      </c>
      <c r="B422" s="12">
        <v>237060018</v>
      </c>
      <c r="C422" s="12" t="s">
        <v>503</v>
      </c>
      <c r="D422" s="12" t="s">
        <v>504</v>
      </c>
      <c r="E422" s="27"/>
      <c r="F422" s="13"/>
      <c r="G422" s="14"/>
      <c r="H422" s="22" t="s">
        <v>497</v>
      </c>
    </row>
    <row r="423" ht="15.75" customHeight="1" spans="1:16" x14ac:dyDescent="0.25">
      <c r="A423" s="12">
        <f>_xlfn.AGGREGATE(3,3,$B$9:B423)</f>
        <v>397</v>
      </c>
      <c r="B423" s="12">
        <v>237060019</v>
      </c>
      <c r="C423" s="12" t="s">
        <v>476</v>
      </c>
      <c r="D423" s="12" t="s">
        <v>109</v>
      </c>
      <c r="E423" s="27"/>
      <c r="F423" s="13"/>
      <c r="G423" s="14"/>
      <c r="H423" s="22" t="s">
        <v>497</v>
      </c>
    </row>
    <row r="424" ht="15.75" customHeight="1" spans="1:16" x14ac:dyDescent="0.25">
      <c r="A424" s="12">
        <f>_xlfn.AGGREGATE(3,3,$B$9:B424)</f>
        <v>398</v>
      </c>
      <c r="B424" s="12">
        <v>237060020</v>
      </c>
      <c r="C424" s="12" t="s">
        <v>505</v>
      </c>
      <c r="D424" s="12" t="s">
        <v>177</v>
      </c>
      <c r="E424" s="27"/>
      <c r="F424" s="13"/>
      <c r="G424" s="14"/>
      <c r="H424" s="22" t="s">
        <v>497</v>
      </c>
    </row>
    <row r="425" ht="15.75" customHeight="1" spans="1:16" x14ac:dyDescent="0.25">
      <c r="A425" s="12">
        <f>_xlfn.AGGREGATE(3,3,$B$9:B425)</f>
        <v>399</v>
      </c>
      <c r="B425" s="12">
        <v>237060021</v>
      </c>
      <c r="C425" s="12" t="s">
        <v>506</v>
      </c>
      <c r="D425" s="12" t="s">
        <v>253</v>
      </c>
      <c r="E425" s="27"/>
      <c r="F425" s="13"/>
      <c r="G425" s="14"/>
      <c r="H425" s="22" t="s">
        <v>497</v>
      </c>
    </row>
    <row r="426" ht="15.75" customHeight="1" spans="1:16" x14ac:dyDescent="0.25">
      <c r="A426" s="12">
        <f>_xlfn.AGGREGATE(3,3,$B$9:B426)</f>
        <v>400</v>
      </c>
      <c r="B426" s="12">
        <v>237060022</v>
      </c>
      <c r="C426" s="12" t="s">
        <v>507</v>
      </c>
      <c r="D426" s="12" t="s">
        <v>84</v>
      </c>
      <c r="E426" s="27"/>
      <c r="F426" s="13"/>
      <c r="G426" s="14"/>
      <c r="H426" s="22" t="s">
        <v>497</v>
      </c>
    </row>
    <row r="427" ht="15.75" customHeight="1" spans="1:16" x14ac:dyDescent="0.25">
      <c r="A427" s="12">
        <f>_xlfn.AGGREGATE(3,3,$B$9:B427)</f>
        <v>401</v>
      </c>
      <c r="B427" s="12">
        <v>237060023</v>
      </c>
      <c r="C427" s="12" t="s">
        <v>508</v>
      </c>
      <c r="D427" s="12" t="s">
        <v>323</v>
      </c>
      <c r="E427" s="27"/>
      <c r="F427" s="13"/>
      <c r="G427" s="14"/>
      <c r="H427" s="22" t="s">
        <v>497</v>
      </c>
    </row>
    <row r="428" ht="15.75" customHeight="1" spans="1:16" x14ac:dyDescent="0.25">
      <c r="A428" s="12">
        <f>_xlfn.AGGREGATE(3,3,$B$9:B428)</f>
        <v>402</v>
      </c>
      <c r="B428" s="12">
        <v>237060024</v>
      </c>
      <c r="C428" s="12" t="s">
        <v>509</v>
      </c>
      <c r="D428" s="12" t="s">
        <v>253</v>
      </c>
      <c r="E428" s="27"/>
      <c r="F428" s="13"/>
      <c r="G428" s="14"/>
      <c r="H428" s="22" t="s">
        <v>497</v>
      </c>
    </row>
    <row r="429" ht="15.75" customHeight="1" spans="1:16" x14ac:dyDescent="0.25">
      <c r="A429" s="12">
        <f>_xlfn.AGGREGATE(3,3,$B$9:B429)</f>
        <v>403</v>
      </c>
      <c r="B429" s="12">
        <v>237060025</v>
      </c>
      <c r="C429" s="12" t="s">
        <v>510</v>
      </c>
      <c r="D429" s="12" t="s">
        <v>126</v>
      </c>
      <c r="E429" s="27"/>
      <c r="F429" s="13"/>
      <c r="G429" s="14"/>
      <c r="H429" s="22" t="s">
        <v>497</v>
      </c>
    </row>
    <row r="430" ht="15.75" customHeight="1" spans="1:16" x14ac:dyDescent="0.25">
      <c r="A430" s="12">
        <f>_xlfn.AGGREGATE(3,3,$B$9:B430)</f>
        <v>404</v>
      </c>
      <c r="B430" s="12">
        <v>237060026</v>
      </c>
      <c r="C430" s="12" t="s">
        <v>511</v>
      </c>
      <c r="D430" s="12" t="s">
        <v>512</v>
      </c>
      <c r="E430" s="27"/>
      <c r="F430" s="13"/>
      <c r="G430" s="14"/>
      <c r="H430" s="22" t="s">
        <v>497</v>
      </c>
    </row>
    <row r="431" ht="15.75" customHeight="1" spans="1:16" x14ac:dyDescent="0.25">
      <c r="A431" s="12">
        <f>_xlfn.AGGREGATE(3,3,$B$9:B431)</f>
        <v>405</v>
      </c>
      <c r="B431" s="12">
        <v>237060027</v>
      </c>
      <c r="C431" s="12" t="s">
        <v>142</v>
      </c>
      <c r="D431" s="12" t="s">
        <v>462</v>
      </c>
      <c r="E431" s="27"/>
      <c r="F431" s="13"/>
      <c r="G431" s="14"/>
      <c r="H431" s="22" t="s">
        <v>497</v>
      </c>
    </row>
    <row r="432" ht="15.75" customHeight="1" spans="1:16" x14ac:dyDescent="0.25">
      <c r="A432" s="12">
        <f>_xlfn.AGGREGATE(3,3,$B$9:B432)</f>
        <v>406</v>
      </c>
      <c r="B432" s="12">
        <v>237060028</v>
      </c>
      <c r="C432" s="12" t="s">
        <v>513</v>
      </c>
      <c r="D432" s="12" t="s">
        <v>514</v>
      </c>
      <c r="E432" s="27"/>
      <c r="F432" s="13"/>
      <c r="G432" s="14"/>
      <c r="H432" s="22" t="s">
        <v>497</v>
      </c>
    </row>
    <row r="433" ht="15.75" customHeight="1" spans="1:16" x14ac:dyDescent="0.25">
      <c r="A433" s="12">
        <f>_xlfn.AGGREGATE(3,3,$B$9:B433)</f>
        <v>407</v>
      </c>
      <c r="B433" s="12">
        <v>237060029</v>
      </c>
      <c r="C433" s="12" t="s">
        <v>515</v>
      </c>
      <c r="D433" s="12" t="s">
        <v>299</v>
      </c>
      <c r="E433" s="27"/>
      <c r="F433" s="13"/>
      <c r="G433" s="14"/>
      <c r="H433" s="22" t="s">
        <v>497</v>
      </c>
    </row>
    <row r="434" ht="15.75" customHeight="1" spans="1:16" x14ac:dyDescent="0.25">
      <c r="A434" s="12">
        <f>_xlfn.AGGREGATE(3,3,$B$9:B434)</f>
        <v>408</v>
      </c>
      <c r="B434" s="12">
        <v>237060030</v>
      </c>
      <c r="C434" s="12" t="s">
        <v>516</v>
      </c>
      <c r="D434" s="12" t="s">
        <v>43</v>
      </c>
      <c r="E434" s="27"/>
      <c r="F434" s="13"/>
      <c r="G434" s="14"/>
      <c r="H434" s="22" t="s">
        <v>497</v>
      </c>
    </row>
    <row r="435" ht="15.75" customHeight="1" spans="1:16" x14ac:dyDescent="0.25">
      <c r="A435" s="12">
        <f>_xlfn.AGGREGATE(3,3,$B$9:B435)</f>
        <v>409</v>
      </c>
      <c r="B435" s="12">
        <v>237060031</v>
      </c>
      <c r="C435" s="12" t="s">
        <v>517</v>
      </c>
      <c r="D435" s="12" t="s">
        <v>196</v>
      </c>
      <c r="E435" s="27"/>
      <c r="F435" s="13"/>
      <c r="G435" s="14"/>
      <c r="H435" s="22" t="s">
        <v>497</v>
      </c>
    </row>
    <row r="436" ht="15.75" customHeight="1" spans="1:16" x14ac:dyDescent="0.25">
      <c r="A436" s="12">
        <f>_xlfn.AGGREGATE(3,3,$B$9:B436)</f>
        <v>410</v>
      </c>
      <c r="B436" s="12">
        <v>237060032</v>
      </c>
      <c r="C436" s="12" t="s">
        <v>85</v>
      </c>
      <c r="D436" s="12" t="s">
        <v>518</v>
      </c>
      <c r="E436" s="27"/>
      <c r="F436" s="13"/>
      <c r="G436" s="14"/>
      <c r="H436" s="22" t="s">
        <v>497</v>
      </c>
    </row>
    <row r="437" ht="15.75" customHeight="1" spans="1:16" x14ac:dyDescent="0.25">
      <c r="A437" s="12">
        <f>_xlfn.AGGREGATE(3,3,$B$9:B437)</f>
        <v>411</v>
      </c>
      <c r="B437" s="12">
        <v>237060034</v>
      </c>
      <c r="C437" s="12" t="s">
        <v>519</v>
      </c>
      <c r="D437" s="12" t="s">
        <v>382</v>
      </c>
      <c r="E437" s="27"/>
      <c r="F437" s="13"/>
      <c r="G437" s="14"/>
      <c r="H437" s="22" t="s">
        <v>497</v>
      </c>
    </row>
    <row r="438" ht="15.75" customHeight="1" spans="1:16" x14ac:dyDescent="0.25">
      <c r="A438" s="12">
        <f>_xlfn.AGGREGATE(3,3,$B$9:B438)</f>
        <v>412</v>
      </c>
      <c r="B438" s="12">
        <v>237060035</v>
      </c>
      <c r="C438" s="12" t="s">
        <v>135</v>
      </c>
      <c r="D438" s="12" t="s">
        <v>520</v>
      </c>
      <c r="E438" s="27"/>
      <c r="F438" s="13"/>
      <c r="G438" s="14"/>
      <c r="H438" s="22" t="s">
        <v>497</v>
      </c>
    </row>
    <row r="439" ht="15.75" customHeight="1" spans="1:16" x14ac:dyDescent="0.25">
      <c r="A439" s="12">
        <f>_xlfn.AGGREGATE(3,3,$B$9:B439)</f>
        <v>413</v>
      </c>
      <c r="B439" s="12">
        <v>237060036</v>
      </c>
      <c r="C439" s="12" t="s">
        <v>521</v>
      </c>
      <c r="D439" s="12" t="s">
        <v>522</v>
      </c>
      <c r="E439" s="27"/>
      <c r="F439" s="13"/>
      <c r="G439" s="14"/>
      <c r="H439" s="22" t="s">
        <v>497</v>
      </c>
    </row>
    <row r="440" ht="15.75" customHeight="1" spans="1:16" x14ac:dyDescent="0.25">
      <c r="A440" s="12">
        <f>_xlfn.AGGREGATE(3,3,$B$9:B440)</f>
        <v>414</v>
      </c>
      <c r="B440" s="12">
        <v>237060037</v>
      </c>
      <c r="C440" s="12" t="s">
        <v>51</v>
      </c>
      <c r="D440" s="12" t="s">
        <v>50</v>
      </c>
      <c r="E440" s="27"/>
      <c r="F440" s="13"/>
      <c r="G440" s="14"/>
      <c r="H440" s="22" t="s">
        <v>497</v>
      </c>
    </row>
    <row r="441" ht="15.75" customHeight="1" spans="1:16" x14ac:dyDescent="0.25">
      <c r="A441" s="12">
        <f>_xlfn.AGGREGATE(3,3,$B$9:B441)</f>
        <v>415</v>
      </c>
      <c r="B441" s="12">
        <v>237060038</v>
      </c>
      <c r="C441" s="12" t="s">
        <v>523</v>
      </c>
      <c r="D441" s="12" t="s">
        <v>72</v>
      </c>
      <c r="E441" s="27"/>
      <c r="F441" s="13"/>
      <c r="G441" s="14"/>
      <c r="H441" s="22" t="s">
        <v>497</v>
      </c>
    </row>
    <row r="442" ht="15.75" customHeight="1" spans="1:16" x14ac:dyDescent="0.25">
      <c r="A442" s="12">
        <f>_xlfn.AGGREGATE(3,3,$B$9:B442)</f>
        <v>416</v>
      </c>
      <c r="B442" s="12">
        <v>237060040</v>
      </c>
      <c r="C442" s="12" t="s">
        <v>78</v>
      </c>
      <c r="D442" s="12" t="s">
        <v>143</v>
      </c>
      <c r="E442" s="27"/>
      <c r="F442" s="13"/>
      <c r="G442" s="14"/>
      <c r="H442" s="22" t="s">
        <v>497</v>
      </c>
    </row>
    <row r="443" ht="15.75" customHeight="1" spans="1:16" x14ac:dyDescent="0.25">
      <c r="A443" s="12">
        <f>_xlfn.AGGREGATE(3,3,$B$9:B443)</f>
        <v>417</v>
      </c>
      <c r="B443" s="12">
        <v>237060041</v>
      </c>
      <c r="C443" s="12" t="s">
        <v>524</v>
      </c>
      <c r="D443" s="12" t="s">
        <v>161</v>
      </c>
      <c r="E443" s="27"/>
      <c r="F443" s="13"/>
      <c r="G443" s="14"/>
      <c r="H443" s="22" t="s">
        <v>497</v>
      </c>
    </row>
    <row r="444" ht="15.75" customHeight="1" spans="1:16" x14ac:dyDescent="0.25">
      <c r="A444" s="12">
        <f>_xlfn.AGGREGATE(3,3,$B$9:B444)</f>
        <v>418</v>
      </c>
      <c r="B444" s="12">
        <v>237060042</v>
      </c>
      <c r="C444" s="12" t="s">
        <v>395</v>
      </c>
      <c r="D444" s="12" t="s">
        <v>18</v>
      </c>
      <c r="E444" s="27"/>
      <c r="F444" s="13"/>
      <c r="G444" s="14"/>
      <c r="H444" s="22" t="s">
        <v>497</v>
      </c>
    </row>
    <row r="445" ht="15.75" customHeight="1" spans="1:16" x14ac:dyDescent="0.25">
      <c r="A445" s="12">
        <f>_xlfn.AGGREGATE(3,3,$B$9:B445)</f>
        <v>419</v>
      </c>
      <c r="B445" s="12">
        <v>237060043</v>
      </c>
      <c r="C445" s="12" t="s">
        <v>525</v>
      </c>
      <c r="D445" s="12" t="s">
        <v>102</v>
      </c>
      <c r="E445" s="27"/>
      <c r="F445" s="13"/>
      <c r="G445" s="14"/>
      <c r="H445" s="22" t="s">
        <v>497</v>
      </c>
    </row>
    <row r="446" ht="15.75" customHeight="1" spans="1:16" x14ac:dyDescent="0.25">
      <c r="A446" s="12">
        <f>_xlfn.AGGREGATE(3,3,$B$9:B446)</f>
        <v>420</v>
      </c>
      <c r="B446" s="12">
        <v>237060044</v>
      </c>
      <c r="C446" s="12" t="s">
        <v>526</v>
      </c>
      <c r="D446" s="12" t="s">
        <v>217</v>
      </c>
      <c r="E446" s="27"/>
      <c r="F446" s="13"/>
      <c r="G446" s="14"/>
      <c r="H446" s="22" t="s">
        <v>497</v>
      </c>
    </row>
    <row r="447" ht="15.75" customHeight="1" spans="1:16" x14ac:dyDescent="0.25">
      <c r="A447" s="12">
        <f>_xlfn.AGGREGATE(3,3,$B$9:B447)</f>
        <v>421</v>
      </c>
      <c r="B447" s="12">
        <v>237060045</v>
      </c>
      <c r="C447" s="12" t="s">
        <v>527</v>
      </c>
      <c r="D447" s="12" t="s">
        <v>126</v>
      </c>
      <c r="E447" s="27"/>
      <c r="F447" s="13"/>
      <c r="G447" s="14"/>
      <c r="H447" s="22" t="s">
        <v>497</v>
      </c>
    </row>
    <row r="448" ht="15.75" customHeight="1" spans="1:16" x14ac:dyDescent="0.25">
      <c r="A448" s="12">
        <f>_xlfn.AGGREGATE(3,3,$B$9:B448)</f>
        <v>422</v>
      </c>
      <c r="B448" s="12">
        <v>237060046</v>
      </c>
      <c r="C448" s="12" t="s">
        <v>528</v>
      </c>
      <c r="D448" s="12" t="s">
        <v>122</v>
      </c>
      <c r="E448" s="27"/>
      <c r="F448" s="13"/>
      <c r="G448" s="14"/>
      <c r="H448" s="22" t="s">
        <v>497</v>
      </c>
    </row>
    <row r="449" ht="15.75" customHeight="1" spans="1:16" x14ac:dyDescent="0.25">
      <c r="A449" s="12">
        <f>_xlfn.AGGREGATE(3,3,$B$9:B449)</f>
        <v>423</v>
      </c>
      <c r="B449" s="12">
        <v>237060047</v>
      </c>
      <c r="C449" s="12" t="s">
        <v>529</v>
      </c>
      <c r="D449" s="12" t="s">
        <v>530</v>
      </c>
      <c r="E449" s="27"/>
      <c r="F449" s="13"/>
      <c r="G449" s="14"/>
      <c r="H449" s="22" t="s">
        <v>497</v>
      </c>
    </row>
    <row r="450" ht="15.75" customHeight="1" spans="1:16" x14ac:dyDescent="0.25">
      <c r="A450" s="12">
        <f>_xlfn.AGGREGATE(3,3,$B$9:B450)</f>
        <v>424</v>
      </c>
      <c r="B450" s="12">
        <v>237060048</v>
      </c>
      <c r="C450" s="12" t="s">
        <v>531</v>
      </c>
      <c r="D450" s="12" t="s">
        <v>43</v>
      </c>
      <c r="E450" s="27"/>
      <c r="F450" s="13"/>
      <c r="G450" s="14"/>
      <c r="H450" s="22" t="s">
        <v>497</v>
      </c>
    </row>
    <row r="451" ht="15.75" customHeight="1" spans="1:16" x14ac:dyDescent="0.25">
      <c r="A451" s="12">
        <f>_xlfn.AGGREGATE(3,3,$B$9:B451)</f>
        <v>425</v>
      </c>
      <c r="B451" s="12">
        <v>237060050</v>
      </c>
      <c r="C451" s="12" t="s">
        <v>128</v>
      </c>
      <c r="D451" s="12" t="s">
        <v>394</v>
      </c>
      <c r="E451" s="27"/>
      <c r="F451" s="13"/>
      <c r="G451" s="14"/>
      <c r="H451" s="22" t="s">
        <v>497</v>
      </c>
    </row>
    <row r="452" ht="15.75" customHeight="1" spans="1:16" x14ac:dyDescent="0.25">
      <c r="A452" s="12">
        <f>_xlfn.AGGREGATE(3,3,$B$9:B452)</f>
        <v>426</v>
      </c>
      <c r="B452" s="12">
        <v>237060051</v>
      </c>
      <c r="C452" s="12" t="s">
        <v>532</v>
      </c>
      <c r="D452" s="12" t="s">
        <v>533</v>
      </c>
      <c r="E452" s="27"/>
      <c r="F452" s="13"/>
      <c r="G452" s="14"/>
      <c r="H452" s="22" t="s">
        <v>497</v>
      </c>
    </row>
    <row r="453" ht="15.75" customHeight="1" spans="1:16" x14ac:dyDescent="0.25">
      <c r="A453" s="12">
        <f>_xlfn.AGGREGATE(3,3,$B$9:B453)</f>
        <v>427</v>
      </c>
      <c r="B453" s="12">
        <v>237060052</v>
      </c>
      <c r="C453" s="12" t="s">
        <v>534</v>
      </c>
      <c r="D453" s="12" t="s">
        <v>62</v>
      </c>
      <c r="E453" s="27"/>
      <c r="F453" s="13"/>
      <c r="G453" s="14"/>
      <c r="H453" s="22" t="s">
        <v>497</v>
      </c>
    </row>
    <row r="454" ht="15.75" customHeight="1" spans="1:16" x14ac:dyDescent="0.25">
      <c r="A454" s="12">
        <f>_xlfn.AGGREGATE(3,3,$B$9:B454)</f>
        <v>428</v>
      </c>
      <c r="B454" s="12">
        <v>237060054</v>
      </c>
      <c r="C454" s="12" t="s">
        <v>305</v>
      </c>
      <c r="D454" s="12" t="s">
        <v>535</v>
      </c>
      <c r="E454" s="27"/>
      <c r="F454" s="13"/>
      <c r="G454" s="14"/>
      <c r="H454" s="22" t="s">
        <v>497</v>
      </c>
    </row>
    <row r="455" ht="15.75" customHeight="1" spans="1:16" x14ac:dyDescent="0.25">
      <c r="A455" s="12">
        <f>_xlfn.AGGREGATE(3,3,$B$9:B455)</f>
        <v>429</v>
      </c>
      <c r="B455" s="12">
        <v>237060055</v>
      </c>
      <c r="C455" s="12" t="s">
        <v>536</v>
      </c>
      <c r="D455" s="12" t="s">
        <v>50</v>
      </c>
      <c r="E455" s="27"/>
      <c r="F455" s="13"/>
      <c r="G455" s="14"/>
      <c r="H455" s="22" t="s">
        <v>497</v>
      </c>
    </row>
    <row r="456" ht="15.75" customHeight="1" spans="1:16" x14ac:dyDescent="0.25">
      <c r="A456" s="12">
        <f>_xlfn.AGGREGATE(3,3,$B$9:B456)</f>
        <v>430</v>
      </c>
      <c r="B456" s="12">
        <v>237060056</v>
      </c>
      <c r="C456" s="12" t="s">
        <v>537</v>
      </c>
      <c r="D456" s="12" t="s">
        <v>190</v>
      </c>
      <c r="E456" s="27"/>
      <c r="F456" s="13"/>
      <c r="G456" s="14"/>
      <c r="H456" s="22" t="s">
        <v>497</v>
      </c>
    </row>
    <row r="457" ht="15.75" customHeight="1" spans="1:16" x14ac:dyDescent="0.25">
      <c r="A457" s="12">
        <f>_xlfn.AGGREGATE(3,3,$B$9:B457)</f>
        <v>431</v>
      </c>
      <c r="B457" s="12">
        <v>237060057</v>
      </c>
      <c r="C457" s="12" t="s">
        <v>44</v>
      </c>
      <c r="D457" s="12" t="s">
        <v>451</v>
      </c>
      <c r="E457" s="27"/>
      <c r="F457" s="13"/>
      <c r="G457" s="14"/>
      <c r="H457" s="22" t="s">
        <v>497</v>
      </c>
    </row>
    <row r="458" ht="15.75" customHeight="1" spans="1:16" x14ac:dyDescent="0.25">
      <c r="A458" s="12">
        <f>_xlfn.AGGREGATE(3,3,$B$9:B458)</f>
        <v>432</v>
      </c>
      <c r="B458" s="12">
        <v>237060058</v>
      </c>
      <c r="C458" s="12" t="s">
        <v>27</v>
      </c>
      <c r="D458" s="12" t="s">
        <v>38</v>
      </c>
      <c r="E458" s="27"/>
      <c r="F458" s="13"/>
      <c r="G458" s="14"/>
      <c r="H458" s="22" t="s">
        <v>497</v>
      </c>
    </row>
    <row r="459" ht="15.75" customHeight="1" spans="1:16" x14ac:dyDescent="0.25">
      <c r="A459" s="12">
        <f>_xlfn.AGGREGATE(3,3,$B$9:B459)</f>
        <v>433</v>
      </c>
      <c r="B459" s="12">
        <v>237060061</v>
      </c>
      <c r="C459" s="12" t="s">
        <v>538</v>
      </c>
      <c r="D459" s="12" t="s">
        <v>126</v>
      </c>
      <c r="E459" s="27"/>
      <c r="F459" s="13"/>
      <c r="G459" s="14"/>
      <c r="H459" s="22" t="s">
        <v>497</v>
      </c>
    </row>
    <row r="460" ht="15.75" customHeight="1" spans="1:16" x14ac:dyDescent="0.25">
      <c r="A460" s="12">
        <f>_xlfn.AGGREGATE(3,3,$B$9:B460)</f>
        <v>434</v>
      </c>
      <c r="B460" s="12">
        <v>237060062</v>
      </c>
      <c r="C460" s="12" t="s">
        <v>539</v>
      </c>
      <c r="D460" s="12" t="s">
        <v>407</v>
      </c>
      <c r="E460" s="27"/>
      <c r="F460" s="13"/>
      <c r="G460" s="14"/>
      <c r="H460" s="22" t="s">
        <v>497</v>
      </c>
    </row>
    <row r="461" ht="15.75" customHeight="1" spans="1:16" x14ac:dyDescent="0.25">
      <c r="A461" s="12">
        <f>_xlfn.AGGREGATE(3,3,$B$9:B461)</f>
        <v>435</v>
      </c>
      <c r="B461" s="12">
        <v>237060063</v>
      </c>
      <c r="C461" s="12" t="s">
        <v>130</v>
      </c>
      <c r="D461" s="12" t="s">
        <v>126</v>
      </c>
      <c r="E461" s="27"/>
      <c r="F461" s="13"/>
      <c r="G461" s="14"/>
      <c r="H461" s="22" t="s">
        <v>497</v>
      </c>
    </row>
    <row r="462" ht="15.75" customHeight="1" spans="1:16" x14ac:dyDescent="0.25">
      <c r="A462" s="12">
        <f>_xlfn.AGGREGATE(3,3,$B$9:B462)</f>
        <v>436</v>
      </c>
      <c r="B462" s="12">
        <v>237060066</v>
      </c>
      <c r="C462" s="12" t="s">
        <v>540</v>
      </c>
      <c r="D462" s="12" t="s">
        <v>299</v>
      </c>
      <c r="E462" s="27"/>
      <c r="F462" s="13"/>
      <c r="G462" s="14"/>
      <c r="H462" s="22" t="s">
        <v>497</v>
      </c>
    </row>
    <row r="463" ht="15.75" customHeight="1" spans="1:16" x14ac:dyDescent="0.25">
      <c r="A463" s="12">
        <f>_xlfn.AGGREGATE(3,3,$B$9:B463)</f>
        <v>437</v>
      </c>
      <c r="B463" s="12">
        <v>237060068</v>
      </c>
      <c r="C463" s="12" t="s">
        <v>541</v>
      </c>
      <c r="D463" s="12" t="s">
        <v>434</v>
      </c>
      <c r="E463" s="27"/>
      <c r="F463" s="13"/>
      <c r="G463" s="14"/>
      <c r="H463" s="22" t="s">
        <v>497</v>
      </c>
    </row>
    <row r="464" ht="15.75" customHeight="1" spans="1:16" x14ac:dyDescent="0.25">
      <c r="A464" s="12">
        <f>_xlfn.AGGREGATE(3,3,$B$9:B464)</f>
        <v>438</v>
      </c>
      <c r="B464" s="12">
        <v>237060069</v>
      </c>
      <c r="C464" s="12" t="s">
        <v>542</v>
      </c>
      <c r="D464" s="12" t="s">
        <v>543</v>
      </c>
      <c r="E464" s="27"/>
      <c r="F464" s="13"/>
      <c r="G464" s="14"/>
      <c r="H464" s="22" t="s">
        <v>497</v>
      </c>
    </row>
    <row r="465" ht="15.75" customHeight="1" spans="1:16" x14ac:dyDescent="0.25">
      <c r="A465" s="12">
        <f>_xlfn.AGGREGATE(3,3,$B$9:B465)</f>
        <v>439</v>
      </c>
      <c r="B465" s="12">
        <v>237060070</v>
      </c>
      <c r="C465" s="12" t="s">
        <v>544</v>
      </c>
      <c r="D465" s="12" t="s">
        <v>64</v>
      </c>
      <c r="E465" s="27"/>
      <c r="F465" s="13"/>
      <c r="G465" s="14"/>
      <c r="H465" s="22" t="s">
        <v>497</v>
      </c>
    </row>
    <row r="466" ht="15.75" customHeight="1" spans="1:16" x14ac:dyDescent="0.25">
      <c r="A466" s="12">
        <f>_xlfn.AGGREGATE(3,3,$B$9:B466)</f>
        <v>440</v>
      </c>
      <c r="B466" s="12">
        <v>237060071</v>
      </c>
      <c r="C466" s="12" t="s">
        <v>545</v>
      </c>
      <c r="D466" s="12" t="s">
        <v>274</v>
      </c>
      <c r="E466" s="27"/>
      <c r="F466" s="13"/>
      <c r="G466" s="14"/>
      <c r="H466" s="22" t="s">
        <v>497</v>
      </c>
    </row>
    <row r="467" ht="15.75" customHeight="1" spans="1:16" x14ac:dyDescent="0.25">
      <c r="A467" s="12">
        <f>_xlfn.AGGREGATE(3,3,$B$9:B467)</f>
        <v>441</v>
      </c>
      <c r="B467" s="12">
        <v>237060072</v>
      </c>
      <c r="C467" s="12" t="s">
        <v>228</v>
      </c>
      <c r="D467" s="12" t="s">
        <v>546</v>
      </c>
      <c r="E467" s="27"/>
      <c r="F467" s="13"/>
      <c r="G467" s="14"/>
      <c r="H467" s="22" t="s">
        <v>497</v>
      </c>
    </row>
    <row r="468" ht="15.75" customHeight="1" spans="1:16" x14ac:dyDescent="0.25">
      <c r="A468" s="12">
        <f>_xlfn.AGGREGATE(3,3,$B$9:B468)</f>
        <v>442</v>
      </c>
      <c r="B468" s="12">
        <v>237060073</v>
      </c>
      <c r="C468" s="12" t="s">
        <v>489</v>
      </c>
      <c r="D468" s="12" t="s">
        <v>196</v>
      </c>
      <c r="E468" s="27"/>
      <c r="F468" s="13"/>
      <c r="G468" s="14"/>
      <c r="H468" s="22" t="s">
        <v>497</v>
      </c>
    </row>
    <row r="469" ht="15.75" customHeight="1" spans="1:16" x14ac:dyDescent="0.25">
      <c r="A469" s="12">
        <f>_xlfn.AGGREGATE(3,3,$B$9:B469)</f>
        <v>443</v>
      </c>
      <c r="B469" s="12">
        <v>237060074</v>
      </c>
      <c r="C469" s="12" t="s">
        <v>547</v>
      </c>
      <c r="D469" s="12" t="s">
        <v>451</v>
      </c>
      <c r="E469" s="27"/>
      <c r="F469" s="13"/>
      <c r="G469" s="14"/>
      <c r="H469" s="22" t="s">
        <v>497</v>
      </c>
    </row>
    <row r="470" ht="15.75" customHeight="1" spans="1:16" x14ac:dyDescent="0.25">
      <c r="A470" s="12">
        <f>_xlfn.AGGREGATE(3,3,$B$9:B470)</f>
        <v>444</v>
      </c>
      <c r="B470" s="12">
        <v>237060075</v>
      </c>
      <c r="C470" s="12" t="s">
        <v>548</v>
      </c>
      <c r="D470" s="12" t="s">
        <v>442</v>
      </c>
      <c r="E470" s="27"/>
      <c r="F470" s="13"/>
      <c r="G470" s="14"/>
      <c r="H470" s="22" t="s">
        <v>497</v>
      </c>
    </row>
    <row r="471" ht="15.75" customHeight="1" spans="1:16" x14ac:dyDescent="0.25">
      <c r="A471" s="12">
        <f>_xlfn.AGGREGATE(3,3,$B$9:B471)</f>
        <v>445</v>
      </c>
      <c r="B471" s="12">
        <v>237060077</v>
      </c>
      <c r="C471" s="12" t="s">
        <v>549</v>
      </c>
      <c r="D471" s="12" t="s">
        <v>168</v>
      </c>
      <c r="E471" s="27"/>
      <c r="F471" s="13"/>
      <c r="G471" s="14"/>
      <c r="H471" s="22" t="s">
        <v>497</v>
      </c>
    </row>
    <row r="472" ht="15.75" customHeight="1" spans="1:16" x14ac:dyDescent="0.25">
      <c r="A472" s="12">
        <f>_xlfn.AGGREGATE(3,3,$B$9:B472)</f>
        <v>446</v>
      </c>
      <c r="B472" s="12">
        <v>237060078</v>
      </c>
      <c r="C472" s="12" t="s">
        <v>27</v>
      </c>
      <c r="D472" s="12" t="s">
        <v>550</v>
      </c>
      <c r="E472" s="27"/>
      <c r="F472" s="13"/>
      <c r="G472" s="14"/>
      <c r="H472" s="22" t="s">
        <v>497</v>
      </c>
    </row>
    <row r="473" ht="15.75" customHeight="1" spans="1:16" x14ac:dyDescent="0.25">
      <c r="A473" s="12">
        <f>_xlfn.AGGREGATE(3,3,$B$9:B473)</f>
        <v>447</v>
      </c>
      <c r="B473" s="12">
        <v>237060079</v>
      </c>
      <c r="C473" s="12" t="s">
        <v>551</v>
      </c>
      <c r="D473" s="12" t="s">
        <v>66</v>
      </c>
      <c r="E473" s="27"/>
      <c r="F473" s="13"/>
      <c r="G473" s="14"/>
      <c r="H473" s="22" t="s">
        <v>497</v>
      </c>
    </row>
    <row r="474" ht="15.75" customHeight="1" spans="1:16" x14ac:dyDescent="0.25">
      <c r="A474" s="12">
        <f>_xlfn.AGGREGATE(3,3,$B$9:B474)</f>
        <v>448</v>
      </c>
      <c r="B474" s="12">
        <v>237060080</v>
      </c>
      <c r="C474" s="12" t="s">
        <v>552</v>
      </c>
      <c r="D474" s="12" t="s">
        <v>553</v>
      </c>
      <c r="E474" s="27"/>
      <c r="F474" s="13"/>
      <c r="G474" s="14"/>
      <c r="H474" s="22" t="s">
        <v>497</v>
      </c>
    </row>
    <row r="475" ht="15.75" customHeight="1" spans="1:16" x14ac:dyDescent="0.25">
      <c r="A475" s="12">
        <f>_xlfn.AGGREGATE(3,3,$B$9:B475)</f>
        <v>449</v>
      </c>
      <c r="B475" s="12">
        <v>237060081</v>
      </c>
      <c r="C475" s="12" t="s">
        <v>554</v>
      </c>
      <c r="D475" s="12" t="s">
        <v>134</v>
      </c>
      <c r="E475" s="27"/>
      <c r="F475" s="13"/>
      <c r="G475" s="14"/>
      <c r="H475" s="22" t="s">
        <v>497</v>
      </c>
    </row>
    <row r="476" ht="15.75" customHeight="1" spans="1:16" x14ac:dyDescent="0.25">
      <c r="A476" s="12">
        <f>_xlfn.AGGREGATE(3,3,$B$9:B476)</f>
        <v>450</v>
      </c>
      <c r="B476" s="12">
        <v>237060084</v>
      </c>
      <c r="C476" s="12" t="s">
        <v>311</v>
      </c>
      <c r="D476" s="12" t="s">
        <v>357</v>
      </c>
      <c r="E476" s="27"/>
      <c r="F476" s="13"/>
      <c r="G476" s="14"/>
      <c r="H476" s="22" t="s">
        <v>497</v>
      </c>
    </row>
    <row r="477" ht="15.75" customHeight="1" spans="1:16" x14ac:dyDescent="0.25">
      <c r="A477" s="12">
        <f>_xlfn.AGGREGATE(3,3,$B$9:B477)</f>
        <v>451</v>
      </c>
      <c r="B477" s="12">
        <v>237060092</v>
      </c>
      <c r="C477" s="12" t="s">
        <v>555</v>
      </c>
      <c r="D477" s="12" t="s">
        <v>556</v>
      </c>
      <c r="E477" s="27"/>
      <c r="F477" s="13"/>
      <c r="G477" s="14"/>
      <c r="H477" s="22" t="s">
        <v>497</v>
      </c>
    </row>
    <row r="478" ht="15.75" customHeight="1" spans="1:16" x14ac:dyDescent="0.25">
      <c r="A478" s="12">
        <f>_xlfn.AGGREGATE(3,3,$B$9:B478)</f>
        <v>452</v>
      </c>
      <c r="B478" s="12">
        <v>237060110</v>
      </c>
      <c r="C478" s="12" t="s">
        <v>557</v>
      </c>
      <c r="D478" s="12" t="s">
        <v>558</v>
      </c>
      <c r="E478" s="27"/>
      <c r="F478" s="13"/>
      <c r="G478" s="14"/>
      <c r="H478" s="22" t="s">
        <v>497</v>
      </c>
    </row>
    <row r="479" ht="15.75" customHeight="1" spans="1:16" x14ac:dyDescent="0.25">
      <c r="A479" s="12">
        <f>_xlfn.AGGREGATE(3,3,$B$9:B479)</f>
        <v>453</v>
      </c>
      <c r="B479" s="12">
        <v>237060138</v>
      </c>
      <c r="C479" s="12" t="s">
        <v>365</v>
      </c>
      <c r="D479" s="12" t="s">
        <v>462</v>
      </c>
      <c r="E479" s="27"/>
      <c r="F479" s="13"/>
      <c r="G479" s="14"/>
      <c r="H479" s="22" t="s">
        <v>497</v>
      </c>
    </row>
    <row r="480" ht="15.75" customHeight="1" spans="1:16" x14ac:dyDescent="0.25">
      <c r="A480" s="12">
        <f>_xlfn.AGGREGATE(3,3,$B$9:B480)</f>
        <v>454</v>
      </c>
      <c r="B480" s="12">
        <v>237060142</v>
      </c>
      <c r="C480" s="12" t="s">
        <v>83</v>
      </c>
      <c r="D480" s="12" t="s">
        <v>338</v>
      </c>
      <c r="E480" s="27"/>
      <c r="F480" s="13"/>
      <c r="G480" s="14"/>
      <c r="H480" s="22" t="s">
        <v>497</v>
      </c>
    </row>
    <row r="481" ht="15.75" customHeight="1" spans="1:16" x14ac:dyDescent="0.25">
      <c r="A481" s="12">
        <f>_xlfn.AGGREGATE(3,3,$B$9:B481)</f>
        <v>455</v>
      </c>
      <c r="B481" s="12">
        <v>237040046</v>
      </c>
      <c r="C481" s="12" t="s">
        <v>559</v>
      </c>
      <c r="D481" s="12" t="s">
        <v>314</v>
      </c>
      <c r="E481" s="13"/>
      <c r="F481" s="13"/>
      <c r="G481" s="14"/>
      <c r="H481" s="22" t="s">
        <v>560</v>
      </c>
    </row>
    <row r="482" ht="15.75" customHeight="1" spans="1:16" x14ac:dyDescent="0.25">
      <c r="A482" s="12">
        <f>_xlfn.AGGREGATE(3,3,$B$9:B482)</f>
        <v>456</v>
      </c>
      <c r="B482" s="12">
        <v>237060049</v>
      </c>
      <c r="C482" s="12" t="s">
        <v>364</v>
      </c>
      <c r="D482" s="12" t="s">
        <v>43</v>
      </c>
      <c r="E482" s="13"/>
      <c r="F482" s="13"/>
      <c r="G482" s="14"/>
      <c r="H482" s="22" t="s">
        <v>560</v>
      </c>
    </row>
    <row r="483" ht="15.75" customHeight="1" spans="1:16" x14ac:dyDescent="0.25">
      <c r="A483" s="12">
        <f>_xlfn.AGGREGATE(3,3,$B$9:B483)</f>
        <v>457</v>
      </c>
      <c r="B483" s="12">
        <v>237060064</v>
      </c>
      <c r="C483" s="12" t="s">
        <v>561</v>
      </c>
      <c r="D483" s="12" t="s">
        <v>457</v>
      </c>
      <c r="E483" s="13"/>
      <c r="F483" s="13"/>
      <c r="G483" s="14"/>
      <c r="H483" s="22" t="s">
        <v>560</v>
      </c>
    </row>
    <row r="484" ht="15.75" customHeight="1" spans="1:16" x14ac:dyDescent="0.25">
      <c r="A484" s="12">
        <f>_xlfn.AGGREGATE(3,3,$B$9:B484)</f>
        <v>458</v>
      </c>
      <c r="B484" s="12">
        <v>237060067</v>
      </c>
      <c r="C484" s="12" t="s">
        <v>562</v>
      </c>
      <c r="D484" s="12" t="s">
        <v>122</v>
      </c>
      <c r="E484" s="13"/>
      <c r="F484" s="13"/>
      <c r="G484" s="14"/>
      <c r="H484" s="22" t="s">
        <v>560</v>
      </c>
    </row>
    <row r="485" ht="15.75" customHeight="1" spans="1:16" x14ac:dyDescent="0.25">
      <c r="A485" s="12">
        <f>_xlfn.AGGREGATE(3,3,$B$9:B485)</f>
        <v>459</v>
      </c>
      <c r="B485" s="12">
        <v>237060076</v>
      </c>
      <c r="C485" s="12" t="s">
        <v>78</v>
      </c>
      <c r="D485" s="12" t="s">
        <v>378</v>
      </c>
      <c r="E485" s="13"/>
      <c r="F485" s="13"/>
      <c r="G485" s="14"/>
      <c r="H485" s="22" t="s">
        <v>560</v>
      </c>
    </row>
    <row r="486" ht="15.75" customHeight="1" spans="1:16" x14ac:dyDescent="0.25">
      <c r="A486" s="12">
        <f>_xlfn.AGGREGATE(3,3,$B$9:B486)</f>
        <v>460</v>
      </c>
      <c r="B486" s="12">
        <v>237060082</v>
      </c>
      <c r="C486" s="12" t="s">
        <v>311</v>
      </c>
      <c r="D486" s="12" t="s">
        <v>28</v>
      </c>
      <c r="E486" s="13"/>
      <c r="F486" s="13"/>
      <c r="G486" s="14"/>
      <c r="H486" s="22" t="s">
        <v>560</v>
      </c>
    </row>
    <row r="487" ht="15.75" customHeight="1" spans="1:16" x14ac:dyDescent="0.25">
      <c r="A487" s="12">
        <f>_xlfn.AGGREGATE(3,3,$B$9:B487)</f>
        <v>461</v>
      </c>
      <c r="B487" s="12">
        <v>237060083</v>
      </c>
      <c r="C487" s="12" t="s">
        <v>44</v>
      </c>
      <c r="D487" s="12" t="s">
        <v>102</v>
      </c>
      <c r="E487" s="13"/>
      <c r="F487" s="13"/>
      <c r="G487" s="14"/>
      <c r="H487" s="22" t="s">
        <v>560</v>
      </c>
    </row>
    <row r="488" ht="15.75" customHeight="1" spans="1:16" x14ac:dyDescent="0.25">
      <c r="A488" s="12">
        <f>_xlfn.AGGREGATE(3,3,$B$9:B488)</f>
        <v>462</v>
      </c>
      <c r="B488" s="12">
        <v>237060085</v>
      </c>
      <c r="C488" s="12" t="s">
        <v>563</v>
      </c>
      <c r="D488" s="12" t="s">
        <v>43</v>
      </c>
      <c r="E488" s="13"/>
      <c r="F488" s="13"/>
      <c r="G488" s="14"/>
      <c r="H488" s="22" t="s">
        <v>560</v>
      </c>
    </row>
    <row r="489" ht="15.75" customHeight="1" spans="1:16" x14ac:dyDescent="0.25">
      <c r="A489" s="12">
        <f>_xlfn.AGGREGATE(3,3,$B$9:B489)</f>
        <v>463</v>
      </c>
      <c r="B489" s="12">
        <v>237060086</v>
      </c>
      <c r="C489" s="12" t="s">
        <v>85</v>
      </c>
      <c r="D489" s="12" t="s">
        <v>564</v>
      </c>
      <c r="E489" s="13"/>
      <c r="F489" s="13"/>
      <c r="G489" s="14"/>
      <c r="H489" s="22" t="s">
        <v>560</v>
      </c>
    </row>
    <row r="490" ht="15.75" customHeight="1" spans="1:16" x14ac:dyDescent="0.25">
      <c r="A490" s="12">
        <f>_xlfn.AGGREGATE(3,3,$B$9:B490)</f>
        <v>464</v>
      </c>
      <c r="B490" s="12">
        <v>237060088</v>
      </c>
      <c r="C490" s="12" t="s">
        <v>262</v>
      </c>
      <c r="D490" s="12" t="s">
        <v>334</v>
      </c>
      <c r="E490" s="13"/>
      <c r="F490" s="13"/>
      <c r="G490" s="14"/>
      <c r="H490" s="22" t="s">
        <v>560</v>
      </c>
    </row>
    <row r="491" ht="15.75" customHeight="1" spans="1:16" x14ac:dyDescent="0.25">
      <c r="A491" s="12">
        <f>_xlfn.AGGREGATE(3,3,$B$9:B491)</f>
        <v>465</v>
      </c>
      <c r="B491" s="12">
        <v>237060089</v>
      </c>
      <c r="C491" s="12" t="s">
        <v>44</v>
      </c>
      <c r="D491" s="12" t="s">
        <v>34</v>
      </c>
      <c r="E491" s="13"/>
      <c r="F491" s="13"/>
      <c r="G491" s="14"/>
      <c r="H491" s="22" t="s">
        <v>560</v>
      </c>
    </row>
    <row r="492" ht="15.75" customHeight="1" spans="1:16" x14ac:dyDescent="0.25">
      <c r="A492" s="12">
        <f>_xlfn.AGGREGATE(3,3,$B$9:B492)</f>
        <v>466</v>
      </c>
      <c r="B492" s="12">
        <v>237060090</v>
      </c>
      <c r="C492" s="12" t="s">
        <v>565</v>
      </c>
      <c r="D492" s="12" t="s">
        <v>30</v>
      </c>
      <c r="E492" s="13"/>
      <c r="F492" s="13"/>
      <c r="G492" s="14"/>
      <c r="H492" s="22" t="s">
        <v>560</v>
      </c>
    </row>
    <row r="493" ht="15.75" customHeight="1" spans="1:16" x14ac:dyDescent="0.25">
      <c r="A493" s="12">
        <f>_xlfn.AGGREGATE(3,3,$B$9:B493)</f>
        <v>467</v>
      </c>
      <c r="B493" s="12">
        <v>237060091</v>
      </c>
      <c r="C493" s="12" t="s">
        <v>566</v>
      </c>
      <c r="D493" s="12" t="s">
        <v>126</v>
      </c>
      <c r="E493" s="13"/>
      <c r="F493" s="13"/>
      <c r="G493" s="14"/>
      <c r="H493" s="22" t="s">
        <v>560</v>
      </c>
    </row>
    <row r="494" ht="15.75" customHeight="1" spans="1:16" x14ac:dyDescent="0.25">
      <c r="A494" s="12">
        <f>_xlfn.AGGREGATE(3,3,$B$9:B494)</f>
        <v>468</v>
      </c>
      <c r="B494" s="12">
        <v>237060093</v>
      </c>
      <c r="C494" s="12" t="s">
        <v>567</v>
      </c>
      <c r="D494" s="12" t="s">
        <v>568</v>
      </c>
      <c r="E494" s="13"/>
      <c r="F494" s="13"/>
      <c r="G494" s="14"/>
      <c r="H494" s="22" t="s">
        <v>560</v>
      </c>
    </row>
    <row r="495" ht="15.75" customHeight="1" spans="1:16" x14ac:dyDescent="0.25">
      <c r="A495" s="12">
        <f>_xlfn.AGGREGATE(3,3,$B$9:B495)</f>
        <v>469</v>
      </c>
      <c r="B495" s="12">
        <v>237060094</v>
      </c>
      <c r="C495" s="12" t="s">
        <v>569</v>
      </c>
      <c r="D495" s="12" t="s">
        <v>387</v>
      </c>
      <c r="E495" s="13"/>
      <c r="F495" s="13"/>
      <c r="G495" s="14"/>
      <c r="H495" s="22" t="s">
        <v>560</v>
      </c>
    </row>
    <row r="496" ht="15.75" customHeight="1" spans="1:16" x14ac:dyDescent="0.25">
      <c r="A496" s="12">
        <f>_xlfn.AGGREGATE(3,3,$B$9:B496)</f>
        <v>470</v>
      </c>
      <c r="B496" s="12">
        <v>237060095</v>
      </c>
      <c r="C496" s="12" t="s">
        <v>570</v>
      </c>
      <c r="D496" s="12" t="s">
        <v>571</v>
      </c>
      <c r="E496" s="13"/>
      <c r="F496" s="13"/>
      <c r="G496" s="14"/>
      <c r="H496" s="22" t="s">
        <v>560</v>
      </c>
    </row>
    <row r="497" ht="15.75" customHeight="1" spans="1:16" x14ac:dyDescent="0.25">
      <c r="A497" s="12">
        <f>_xlfn.AGGREGATE(3,3,$B$9:B497)</f>
        <v>471</v>
      </c>
      <c r="B497" s="12">
        <v>237060096</v>
      </c>
      <c r="C497" s="12" t="s">
        <v>572</v>
      </c>
      <c r="D497" s="12" t="s">
        <v>70</v>
      </c>
      <c r="E497" s="13"/>
      <c r="F497" s="13"/>
      <c r="G497" s="14"/>
      <c r="H497" s="22" t="s">
        <v>560</v>
      </c>
    </row>
    <row r="498" ht="15.75" customHeight="1" spans="1:16" x14ac:dyDescent="0.25">
      <c r="A498" s="12">
        <f>_xlfn.AGGREGATE(3,3,$B$9:B498)</f>
        <v>472</v>
      </c>
      <c r="B498" s="12">
        <v>237060097</v>
      </c>
      <c r="C498" s="12" t="s">
        <v>573</v>
      </c>
      <c r="D498" s="12" t="s">
        <v>43</v>
      </c>
      <c r="E498" s="13"/>
      <c r="F498" s="13"/>
      <c r="G498" s="14"/>
      <c r="H498" s="22" t="s">
        <v>560</v>
      </c>
    </row>
    <row r="499" ht="15.75" customHeight="1" spans="1:16" x14ac:dyDescent="0.25">
      <c r="A499" s="12">
        <f>_xlfn.AGGREGATE(3,3,$B$9:B499)</f>
        <v>473</v>
      </c>
      <c r="B499" s="12">
        <v>237060098</v>
      </c>
      <c r="C499" s="12" t="s">
        <v>239</v>
      </c>
      <c r="D499" s="12" t="s">
        <v>88</v>
      </c>
      <c r="E499" s="13"/>
      <c r="F499" s="13"/>
      <c r="G499" s="14"/>
      <c r="H499" s="22" t="s">
        <v>560</v>
      </c>
    </row>
    <row r="500" ht="15.75" customHeight="1" spans="1:16" x14ac:dyDescent="0.25">
      <c r="A500" s="12">
        <f>_xlfn.AGGREGATE(3,3,$B$9:B500)</f>
        <v>474</v>
      </c>
      <c r="B500" s="12">
        <v>237060100</v>
      </c>
      <c r="C500" s="12" t="s">
        <v>53</v>
      </c>
      <c r="D500" s="12" t="s">
        <v>116</v>
      </c>
      <c r="E500" s="13"/>
      <c r="F500" s="13"/>
      <c r="G500" s="14"/>
      <c r="H500" s="22" t="s">
        <v>560</v>
      </c>
    </row>
    <row r="501" ht="15.75" customHeight="1" spans="1:16" x14ac:dyDescent="0.25">
      <c r="A501" s="12">
        <f>_xlfn.AGGREGATE(3,3,$B$9:B501)</f>
        <v>475</v>
      </c>
      <c r="B501" s="12">
        <v>237060101</v>
      </c>
      <c r="C501" s="12" t="s">
        <v>574</v>
      </c>
      <c r="D501" s="12" t="s">
        <v>514</v>
      </c>
      <c r="E501" s="13"/>
      <c r="F501" s="13"/>
      <c r="G501" s="14"/>
      <c r="H501" s="22" t="s">
        <v>560</v>
      </c>
    </row>
    <row r="502" ht="15.75" customHeight="1" spans="1:16" x14ac:dyDescent="0.25">
      <c r="A502" s="12">
        <f>_xlfn.AGGREGATE(3,3,$B$9:B502)</f>
        <v>476</v>
      </c>
      <c r="B502" s="12">
        <v>237060102</v>
      </c>
      <c r="C502" s="12" t="s">
        <v>575</v>
      </c>
      <c r="D502" s="12" t="s">
        <v>132</v>
      </c>
      <c r="E502" s="13"/>
      <c r="F502" s="13"/>
      <c r="G502" s="14"/>
      <c r="H502" s="22" t="s">
        <v>560</v>
      </c>
    </row>
    <row r="503" ht="15.75" customHeight="1" spans="1:16" x14ac:dyDescent="0.25">
      <c r="A503" s="12">
        <f>_xlfn.AGGREGATE(3,3,$B$9:B503)</f>
        <v>477</v>
      </c>
      <c r="B503" s="12">
        <v>237060103</v>
      </c>
      <c r="C503" s="12" t="s">
        <v>576</v>
      </c>
      <c r="D503" s="12" t="s">
        <v>577</v>
      </c>
      <c r="E503" s="13"/>
      <c r="F503" s="13"/>
      <c r="G503" s="14"/>
      <c r="H503" s="22" t="s">
        <v>560</v>
      </c>
    </row>
    <row r="504" ht="15.75" customHeight="1" spans="1:16" x14ac:dyDescent="0.25">
      <c r="A504" s="12">
        <f>_xlfn.AGGREGATE(3,3,$B$9:B504)</f>
        <v>478</v>
      </c>
      <c r="B504" s="12">
        <v>237060104</v>
      </c>
      <c r="C504" s="12" t="s">
        <v>27</v>
      </c>
      <c r="D504" s="12" t="s">
        <v>504</v>
      </c>
      <c r="E504" s="13"/>
      <c r="F504" s="13"/>
      <c r="G504" s="14"/>
      <c r="H504" s="22" t="s">
        <v>560</v>
      </c>
    </row>
    <row r="505" ht="15.75" customHeight="1" spans="1:16" x14ac:dyDescent="0.25">
      <c r="A505" s="12">
        <f>_xlfn.AGGREGATE(3,3,$B$9:B505)</f>
        <v>479</v>
      </c>
      <c r="B505" s="12">
        <v>237060105</v>
      </c>
      <c r="C505" s="12" t="s">
        <v>69</v>
      </c>
      <c r="D505" s="12" t="s">
        <v>578</v>
      </c>
      <c r="E505" s="13"/>
      <c r="F505" s="13"/>
      <c r="G505" s="14"/>
      <c r="H505" s="22" t="s">
        <v>560</v>
      </c>
    </row>
    <row r="506" ht="15.75" customHeight="1" spans="1:16" x14ac:dyDescent="0.25">
      <c r="A506" s="12">
        <f>_xlfn.AGGREGATE(3,3,$B$9:B506)</f>
        <v>480</v>
      </c>
      <c r="B506" s="12">
        <v>237060106</v>
      </c>
      <c r="C506" s="12" t="s">
        <v>579</v>
      </c>
      <c r="D506" s="12" t="s">
        <v>60</v>
      </c>
      <c r="E506" s="13"/>
      <c r="F506" s="13"/>
      <c r="G506" s="14"/>
      <c r="H506" s="22" t="s">
        <v>560</v>
      </c>
    </row>
    <row r="507" ht="15.75" customHeight="1" spans="1:16" x14ac:dyDescent="0.25">
      <c r="A507" s="12">
        <f>_xlfn.AGGREGATE(3,3,$B$9:B507)</f>
        <v>481</v>
      </c>
      <c r="B507" s="12">
        <v>237060107</v>
      </c>
      <c r="C507" s="12" t="s">
        <v>580</v>
      </c>
      <c r="D507" s="12" t="s">
        <v>15</v>
      </c>
      <c r="E507" s="13"/>
      <c r="F507" s="13"/>
      <c r="G507" s="14"/>
      <c r="H507" s="22" t="s">
        <v>560</v>
      </c>
    </row>
    <row r="508" ht="15.75" customHeight="1" spans="1:16" x14ac:dyDescent="0.25">
      <c r="A508" s="12">
        <f>_xlfn.AGGREGATE(3,3,$B$9:B508)</f>
        <v>482</v>
      </c>
      <c r="B508" s="12">
        <v>237060108</v>
      </c>
      <c r="C508" s="12" t="s">
        <v>254</v>
      </c>
      <c r="D508" s="12" t="s">
        <v>32</v>
      </c>
      <c r="E508" s="13"/>
      <c r="F508" s="13"/>
      <c r="G508" s="14"/>
      <c r="H508" s="22" t="s">
        <v>560</v>
      </c>
    </row>
    <row r="509" ht="15.75" customHeight="1" spans="1:16" x14ac:dyDescent="0.25">
      <c r="A509" s="12">
        <f>_xlfn.AGGREGATE(3,3,$B$9:B509)</f>
        <v>483</v>
      </c>
      <c r="B509" s="12">
        <v>237060109</v>
      </c>
      <c r="C509" s="12" t="s">
        <v>581</v>
      </c>
      <c r="D509" s="12" t="s">
        <v>394</v>
      </c>
      <c r="E509" s="13"/>
      <c r="F509" s="13"/>
      <c r="G509" s="14"/>
      <c r="H509" s="22" t="s">
        <v>560</v>
      </c>
    </row>
    <row r="510" ht="15.75" customHeight="1" spans="1:16" x14ac:dyDescent="0.25">
      <c r="A510" s="12">
        <f>_xlfn.AGGREGATE(3,3,$B$9:B510)</f>
        <v>484</v>
      </c>
      <c r="B510" s="12">
        <v>237060112</v>
      </c>
      <c r="C510" s="12" t="s">
        <v>582</v>
      </c>
      <c r="D510" s="12" t="s">
        <v>66</v>
      </c>
      <c r="E510" s="13"/>
      <c r="F510" s="13"/>
      <c r="G510" s="14"/>
      <c r="H510" s="22" t="s">
        <v>560</v>
      </c>
    </row>
    <row r="511" ht="15.75" customHeight="1" spans="1:16" x14ac:dyDescent="0.25">
      <c r="A511" s="12">
        <f>_xlfn.AGGREGATE(3,3,$B$9:B511)</f>
        <v>485</v>
      </c>
      <c r="B511" s="12">
        <v>237060113</v>
      </c>
      <c r="C511" s="12" t="s">
        <v>583</v>
      </c>
      <c r="D511" s="12" t="s">
        <v>382</v>
      </c>
      <c r="E511" s="13"/>
      <c r="F511" s="13"/>
      <c r="G511" s="14"/>
      <c r="H511" s="22" t="s">
        <v>560</v>
      </c>
    </row>
    <row r="512" ht="15.75" customHeight="1" spans="1:16" x14ac:dyDescent="0.25">
      <c r="A512" s="12">
        <f>_xlfn.AGGREGATE(3,3,$B$9:B512)</f>
        <v>486</v>
      </c>
      <c r="B512" s="12">
        <v>237060114</v>
      </c>
      <c r="C512" s="12" t="s">
        <v>584</v>
      </c>
      <c r="D512" s="12" t="s">
        <v>38</v>
      </c>
      <c r="E512" s="13"/>
      <c r="F512" s="13"/>
      <c r="G512" s="14"/>
      <c r="H512" s="22" t="s">
        <v>560</v>
      </c>
    </row>
    <row r="513" ht="15.75" customHeight="1" spans="1:16" x14ac:dyDescent="0.25">
      <c r="A513" s="12">
        <f>_xlfn.AGGREGATE(3,3,$B$9:B513)</f>
        <v>487</v>
      </c>
      <c r="B513" s="12">
        <v>237060115</v>
      </c>
      <c r="C513" s="12" t="s">
        <v>585</v>
      </c>
      <c r="D513" s="12" t="s">
        <v>318</v>
      </c>
      <c r="E513" s="13"/>
      <c r="F513" s="13"/>
      <c r="G513" s="14"/>
      <c r="H513" s="22" t="s">
        <v>560</v>
      </c>
    </row>
    <row r="514" ht="15.75" customHeight="1" spans="1:16" x14ac:dyDescent="0.25">
      <c r="A514" s="12">
        <f>_xlfn.AGGREGATE(3,3,$B$9:B514)</f>
        <v>488</v>
      </c>
      <c r="B514" s="12">
        <v>237060117</v>
      </c>
      <c r="C514" s="12" t="s">
        <v>586</v>
      </c>
      <c r="D514" s="12" t="s">
        <v>126</v>
      </c>
      <c r="E514" s="13"/>
      <c r="F514" s="13"/>
      <c r="G514" s="14"/>
      <c r="H514" s="22" t="s">
        <v>560</v>
      </c>
    </row>
    <row r="515" ht="15.75" customHeight="1" spans="1:16" x14ac:dyDescent="0.25">
      <c r="A515" s="12">
        <f>_xlfn.AGGREGATE(3,3,$B$9:B515)</f>
        <v>489</v>
      </c>
      <c r="B515" s="12">
        <v>237060118</v>
      </c>
      <c r="C515" s="12" t="s">
        <v>587</v>
      </c>
      <c r="D515" s="12" t="s">
        <v>338</v>
      </c>
      <c r="E515" s="13"/>
      <c r="F515" s="13"/>
      <c r="G515" s="14"/>
      <c r="H515" s="22" t="s">
        <v>560</v>
      </c>
    </row>
    <row r="516" ht="15.75" customHeight="1" spans="1:16" x14ac:dyDescent="0.25">
      <c r="A516" s="12">
        <f>_xlfn.AGGREGATE(3,3,$B$9:B516)</f>
        <v>490</v>
      </c>
      <c r="B516" s="12">
        <v>237060119</v>
      </c>
      <c r="C516" s="12" t="s">
        <v>588</v>
      </c>
      <c r="D516" s="12" t="s">
        <v>274</v>
      </c>
      <c r="E516" s="13"/>
      <c r="F516" s="13"/>
      <c r="G516" s="14"/>
      <c r="H516" s="22" t="s">
        <v>560</v>
      </c>
    </row>
    <row r="517" ht="15.75" customHeight="1" spans="1:16" x14ac:dyDescent="0.25">
      <c r="A517" s="12">
        <f>_xlfn.AGGREGATE(3,3,$B$9:B517)</f>
        <v>491</v>
      </c>
      <c r="B517" s="12">
        <v>237060120</v>
      </c>
      <c r="C517" s="12" t="s">
        <v>370</v>
      </c>
      <c r="D517" s="12" t="s">
        <v>589</v>
      </c>
      <c r="E517" s="13"/>
      <c r="F517" s="13"/>
      <c r="G517" s="14"/>
      <c r="H517" s="22" t="s">
        <v>560</v>
      </c>
    </row>
    <row r="518" ht="15.75" customHeight="1" spans="1:16" x14ac:dyDescent="0.25">
      <c r="A518" s="12">
        <f>_xlfn.AGGREGATE(3,3,$B$9:B518)</f>
        <v>492</v>
      </c>
      <c r="B518" s="12">
        <v>237060121</v>
      </c>
      <c r="C518" s="12" t="s">
        <v>590</v>
      </c>
      <c r="D518" s="12" t="s">
        <v>217</v>
      </c>
      <c r="E518" s="13"/>
      <c r="F518" s="13"/>
      <c r="G518" s="14"/>
      <c r="H518" s="22" t="s">
        <v>560</v>
      </c>
    </row>
    <row r="519" ht="15.75" customHeight="1" spans="1:16" x14ac:dyDescent="0.25">
      <c r="A519" s="12">
        <f>_xlfn.AGGREGATE(3,3,$B$9:B519)</f>
        <v>493</v>
      </c>
      <c r="B519" s="12">
        <v>237060122</v>
      </c>
      <c r="C519" s="12" t="s">
        <v>591</v>
      </c>
      <c r="D519" s="12" t="s">
        <v>158</v>
      </c>
      <c r="E519" s="13"/>
      <c r="F519" s="13"/>
      <c r="G519" s="14"/>
      <c r="H519" s="22" t="s">
        <v>560</v>
      </c>
    </row>
    <row r="520" ht="15.75" customHeight="1" spans="1:16" x14ac:dyDescent="0.25">
      <c r="A520" s="12">
        <f>_xlfn.AGGREGATE(3,3,$B$9:B520)</f>
        <v>494</v>
      </c>
      <c r="B520" s="12">
        <v>237060123</v>
      </c>
      <c r="C520" s="12" t="s">
        <v>592</v>
      </c>
      <c r="D520" s="12" t="s">
        <v>281</v>
      </c>
      <c r="E520" s="13"/>
      <c r="F520" s="13"/>
      <c r="G520" s="14"/>
      <c r="H520" s="22" t="s">
        <v>560</v>
      </c>
    </row>
    <row r="521" ht="15.75" customHeight="1" spans="1:16" x14ac:dyDescent="0.25">
      <c r="A521" s="12">
        <f>_xlfn.AGGREGATE(3,3,$B$9:B521)</f>
        <v>495</v>
      </c>
      <c r="B521" s="12">
        <v>237060124</v>
      </c>
      <c r="C521" s="12" t="s">
        <v>593</v>
      </c>
      <c r="D521" s="12" t="s">
        <v>15</v>
      </c>
      <c r="E521" s="13"/>
      <c r="F521" s="13"/>
      <c r="G521" s="14"/>
      <c r="H521" s="22" t="s">
        <v>560</v>
      </c>
    </row>
    <row r="522" ht="15.75" customHeight="1" spans="1:16" x14ac:dyDescent="0.25">
      <c r="A522" s="12">
        <f>_xlfn.AGGREGATE(3,3,$B$9:B522)</f>
        <v>496</v>
      </c>
      <c r="B522" s="12">
        <v>237060125</v>
      </c>
      <c r="C522" s="12" t="s">
        <v>221</v>
      </c>
      <c r="D522" s="12" t="s">
        <v>34</v>
      </c>
      <c r="E522" s="13"/>
      <c r="F522" s="13"/>
      <c r="G522" s="14"/>
      <c r="H522" s="22" t="s">
        <v>560</v>
      </c>
    </row>
    <row r="523" ht="15.75" customHeight="1" spans="1:16" x14ac:dyDescent="0.25">
      <c r="A523" s="12">
        <f>_xlfn.AGGREGATE(3,3,$B$9:B523)</f>
        <v>497</v>
      </c>
      <c r="B523" s="12">
        <v>237060126</v>
      </c>
      <c r="C523" s="12" t="s">
        <v>594</v>
      </c>
      <c r="D523" s="12" t="s">
        <v>595</v>
      </c>
      <c r="E523" s="13"/>
      <c r="F523" s="13"/>
      <c r="G523" s="14"/>
      <c r="H523" s="22" t="s">
        <v>560</v>
      </c>
    </row>
    <row r="524" ht="15.75" customHeight="1" spans="1:16" x14ac:dyDescent="0.25">
      <c r="A524" s="12">
        <f>_xlfn.AGGREGATE(3,3,$B$9:B524)</f>
        <v>498</v>
      </c>
      <c r="B524" s="12">
        <v>237060127</v>
      </c>
      <c r="C524" s="12" t="s">
        <v>78</v>
      </c>
      <c r="D524" s="12" t="s">
        <v>504</v>
      </c>
      <c r="E524" s="13"/>
      <c r="F524" s="13"/>
      <c r="G524" s="14"/>
      <c r="H524" s="22" t="s">
        <v>560</v>
      </c>
    </row>
    <row r="525" ht="15.75" customHeight="1" spans="1:16" x14ac:dyDescent="0.25">
      <c r="A525" s="12">
        <f>_xlfn.AGGREGATE(3,3,$B$9:B525)</f>
        <v>499</v>
      </c>
      <c r="B525" s="12">
        <v>237060128</v>
      </c>
      <c r="C525" s="12" t="s">
        <v>596</v>
      </c>
      <c r="D525" s="12" t="s">
        <v>45</v>
      </c>
      <c r="E525" s="13"/>
      <c r="F525" s="13"/>
      <c r="G525" s="14"/>
      <c r="H525" s="22" t="s">
        <v>560</v>
      </c>
    </row>
    <row r="526" ht="15.75" customHeight="1" spans="1:16" x14ac:dyDescent="0.25">
      <c r="A526" s="12">
        <f>_xlfn.AGGREGATE(3,3,$B$9:B526)</f>
        <v>500</v>
      </c>
      <c r="B526" s="12">
        <v>237060131</v>
      </c>
      <c r="C526" s="12" t="s">
        <v>597</v>
      </c>
      <c r="D526" s="12" t="s">
        <v>72</v>
      </c>
      <c r="E526" s="13"/>
      <c r="F526" s="13"/>
      <c r="G526" s="14"/>
      <c r="H526" s="22" t="s">
        <v>560</v>
      </c>
    </row>
    <row r="527" ht="15.75" customHeight="1" spans="1:16" x14ac:dyDescent="0.25">
      <c r="A527" s="12">
        <f>_xlfn.AGGREGATE(3,3,$B$9:B527)</f>
        <v>501</v>
      </c>
      <c r="B527" s="12">
        <v>237060132</v>
      </c>
      <c r="C527" s="12" t="s">
        <v>19</v>
      </c>
      <c r="D527" s="12" t="s">
        <v>84</v>
      </c>
      <c r="E527" s="13"/>
      <c r="F527" s="13"/>
      <c r="G527" s="14"/>
      <c r="H527" s="22" t="s">
        <v>560</v>
      </c>
    </row>
    <row r="528" ht="15.75" customHeight="1" spans="1:16" x14ac:dyDescent="0.25">
      <c r="A528" s="12">
        <f>_xlfn.AGGREGATE(3,3,$B$9:B528)</f>
        <v>502</v>
      </c>
      <c r="B528" s="12">
        <v>237060134</v>
      </c>
      <c r="C528" s="12" t="s">
        <v>598</v>
      </c>
      <c r="D528" s="12" t="s">
        <v>599</v>
      </c>
      <c r="E528" s="13"/>
      <c r="F528" s="13"/>
      <c r="G528" s="14"/>
      <c r="H528" s="22" t="s">
        <v>560</v>
      </c>
    </row>
    <row r="529" ht="15.75" customHeight="1" spans="1:16" x14ac:dyDescent="0.25">
      <c r="A529" s="12">
        <f>_xlfn.AGGREGATE(3,3,$B$9:B529)</f>
        <v>503</v>
      </c>
      <c r="B529" s="12">
        <v>237060137</v>
      </c>
      <c r="C529" s="12" t="s">
        <v>600</v>
      </c>
      <c r="D529" s="12" t="s">
        <v>601</v>
      </c>
      <c r="E529" s="13"/>
      <c r="F529" s="13"/>
      <c r="G529" s="14"/>
      <c r="H529" s="22" t="s">
        <v>560</v>
      </c>
    </row>
    <row r="530" ht="15.75" customHeight="1" spans="1:16" x14ac:dyDescent="0.25">
      <c r="A530" s="12">
        <f>_xlfn.AGGREGATE(3,3,$B$9:B530)</f>
        <v>504</v>
      </c>
      <c r="B530" s="12">
        <v>237060139</v>
      </c>
      <c r="C530" s="12" t="s">
        <v>602</v>
      </c>
      <c r="D530" s="12" t="s">
        <v>84</v>
      </c>
      <c r="E530" s="13"/>
      <c r="F530" s="13"/>
      <c r="G530" s="14"/>
      <c r="H530" s="22" t="s">
        <v>560</v>
      </c>
    </row>
    <row r="531" ht="15.75" customHeight="1" spans="1:16" x14ac:dyDescent="0.25">
      <c r="A531" s="12">
        <f>_xlfn.AGGREGATE(3,3,$B$9:B531)</f>
        <v>505</v>
      </c>
      <c r="B531" s="12">
        <v>237060140</v>
      </c>
      <c r="C531" s="12" t="s">
        <v>603</v>
      </c>
      <c r="D531" s="12" t="s">
        <v>604</v>
      </c>
      <c r="E531" s="13"/>
      <c r="F531" s="13"/>
      <c r="G531" s="14"/>
      <c r="H531" s="22" t="s">
        <v>560</v>
      </c>
    </row>
    <row r="532" ht="15.75" customHeight="1" spans="1:16" x14ac:dyDescent="0.25">
      <c r="A532" s="12">
        <f>_xlfn.AGGREGATE(3,3,$B$9:B532)</f>
        <v>506</v>
      </c>
      <c r="B532" s="12">
        <v>237060141</v>
      </c>
      <c r="C532" s="12" t="s">
        <v>605</v>
      </c>
      <c r="D532" s="12" t="s">
        <v>606</v>
      </c>
      <c r="E532" s="13"/>
      <c r="F532" s="13"/>
      <c r="G532" s="14"/>
      <c r="H532" s="22" t="s">
        <v>560</v>
      </c>
    </row>
    <row r="533" ht="15.75" customHeight="1" spans="1:16" x14ac:dyDescent="0.25">
      <c r="A533" s="12">
        <f>_xlfn.AGGREGATE(3,3,$B$9:B533)</f>
        <v>507</v>
      </c>
      <c r="B533" s="12">
        <v>237060143</v>
      </c>
      <c r="C533" s="12" t="s">
        <v>29</v>
      </c>
      <c r="D533" s="12" t="s">
        <v>200</v>
      </c>
      <c r="E533" s="13"/>
      <c r="F533" s="13"/>
      <c r="G533" s="14" t="str">
        <f>$G$343</f>
        <v>Trừ 10 điểm chưa CNTTSV</v>
      </c>
      <c r="H533" s="22" t="s">
        <v>560</v>
      </c>
    </row>
    <row r="534" ht="15.75" customHeight="1" spans="1:16" x14ac:dyDescent="0.25">
      <c r="A534" s="12">
        <f>_xlfn.AGGREGATE(3,3,$B$9:B534)</f>
        <v>508</v>
      </c>
      <c r="B534" s="12">
        <v>237060146</v>
      </c>
      <c r="C534" s="12" t="s">
        <v>607</v>
      </c>
      <c r="D534" s="12" t="s">
        <v>62</v>
      </c>
      <c r="E534" s="13"/>
      <c r="F534" s="13"/>
      <c r="G534" s="14"/>
      <c r="H534" s="22" t="s">
        <v>560</v>
      </c>
    </row>
    <row r="535" ht="15.75" customHeight="1" spans="1:16" x14ac:dyDescent="0.25">
      <c r="A535" s="12">
        <f>_xlfn.AGGREGATE(3,3,$B$9:B535)</f>
        <v>509</v>
      </c>
      <c r="B535" s="12">
        <v>237060147</v>
      </c>
      <c r="C535" s="12" t="s">
        <v>608</v>
      </c>
      <c r="D535" s="12" t="s">
        <v>609</v>
      </c>
      <c r="E535" s="13"/>
      <c r="F535" s="13"/>
      <c r="G535" s="14"/>
      <c r="H535" s="22" t="s">
        <v>560</v>
      </c>
    </row>
    <row r="536" ht="15.75" customHeight="1" spans="1:16" x14ac:dyDescent="0.25">
      <c r="A536" s="12">
        <f>_xlfn.AGGREGATE(3,3,$B$9:B536)</f>
        <v>510</v>
      </c>
      <c r="B536" s="12">
        <v>237060149</v>
      </c>
      <c r="C536" s="12" t="s">
        <v>610</v>
      </c>
      <c r="D536" s="12" t="s">
        <v>18</v>
      </c>
      <c r="E536" s="13"/>
      <c r="F536" s="13"/>
      <c r="G536" s="14"/>
      <c r="H536" s="22" t="s">
        <v>560</v>
      </c>
    </row>
    <row r="537" ht="15.75" customHeight="1" spans="1:16" x14ac:dyDescent="0.25">
      <c r="A537" s="12">
        <f>_xlfn.AGGREGATE(3,3,$B$9:B537)</f>
        <v>511</v>
      </c>
      <c r="B537" s="12">
        <v>237060150</v>
      </c>
      <c r="C537" s="12" t="s">
        <v>611</v>
      </c>
      <c r="D537" s="12" t="s">
        <v>612</v>
      </c>
      <c r="E537" s="13"/>
      <c r="F537" s="13"/>
      <c r="G537" s="14"/>
      <c r="H537" s="22" t="s">
        <v>560</v>
      </c>
    </row>
    <row r="538" ht="15.75" customHeight="1" spans="1:16" x14ac:dyDescent="0.25">
      <c r="A538" s="12">
        <f>_xlfn.AGGREGATE(3,3,$B$9:B538)</f>
        <v>512</v>
      </c>
      <c r="B538" s="12">
        <v>237060151</v>
      </c>
      <c r="C538" s="12" t="s">
        <v>613</v>
      </c>
      <c r="D538" s="12" t="s">
        <v>70</v>
      </c>
      <c r="E538" s="13"/>
      <c r="F538" s="13"/>
      <c r="G538" s="14"/>
      <c r="H538" s="22" t="s">
        <v>560</v>
      </c>
    </row>
    <row r="539" ht="15.75" customHeight="1" spans="1:16" x14ac:dyDescent="0.25">
      <c r="A539" s="12">
        <f>_xlfn.AGGREGATE(3,3,$B$9:B539)</f>
        <v>513</v>
      </c>
      <c r="B539" s="12">
        <v>237060155</v>
      </c>
      <c r="C539" s="12" t="s">
        <v>614</v>
      </c>
      <c r="D539" s="12" t="s">
        <v>104</v>
      </c>
      <c r="E539" s="13"/>
      <c r="F539" s="13"/>
      <c r="G539" s="14"/>
      <c r="H539" s="22" t="s">
        <v>560</v>
      </c>
    </row>
    <row r="540" ht="15.75" customHeight="1" spans="1:16" x14ac:dyDescent="0.25">
      <c r="A540" s="12">
        <f>_xlfn.AGGREGATE(3,3,$B$9:B540)</f>
        <v>514</v>
      </c>
      <c r="B540" s="12">
        <v>237060157</v>
      </c>
      <c r="C540" s="12" t="s">
        <v>228</v>
      </c>
      <c r="D540" s="12" t="s">
        <v>615</v>
      </c>
      <c r="E540" s="13"/>
      <c r="F540" s="13"/>
      <c r="G540" s="14"/>
      <c r="H540" s="22" t="s">
        <v>560</v>
      </c>
    </row>
    <row r="541" ht="15.75" customHeight="1" spans="1:16" x14ac:dyDescent="0.25">
      <c r="A541" s="12">
        <f>_xlfn.AGGREGATE(3,3,$B$9:B541)</f>
        <v>515</v>
      </c>
      <c r="B541" s="12">
        <v>237060160</v>
      </c>
      <c r="C541" s="12" t="s">
        <v>616</v>
      </c>
      <c r="D541" s="12" t="s">
        <v>617</v>
      </c>
      <c r="E541" s="13"/>
      <c r="F541" s="13"/>
      <c r="G541" s="14"/>
      <c r="H541" s="22" t="s">
        <v>560</v>
      </c>
    </row>
    <row r="542" ht="15.75" customHeight="1" spans="1:16" x14ac:dyDescent="0.25">
      <c r="A542" s="12">
        <f>_xlfn.AGGREGATE(3,3,$B$9:B542)</f>
        <v>516</v>
      </c>
      <c r="B542" s="12">
        <v>247060001</v>
      </c>
      <c r="C542" s="12" t="s">
        <v>49</v>
      </c>
      <c r="D542" s="12" t="s">
        <v>261</v>
      </c>
      <c r="E542" s="27"/>
      <c r="F542" s="27"/>
      <c r="G542" s="14"/>
      <c r="H542" s="15" t="s">
        <v>618</v>
      </c>
    </row>
    <row r="543" ht="15.75" customHeight="1" spans="1:16" x14ac:dyDescent="0.25">
      <c r="A543" s="12">
        <f>_xlfn.AGGREGATE(3,3,$B$9:B543)</f>
        <v>517</v>
      </c>
      <c r="B543" s="12">
        <v>247060002</v>
      </c>
      <c r="C543" s="12" t="s">
        <v>619</v>
      </c>
      <c r="D543" s="12" t="s">
        <v>187</v>
      </c>
      <c r="E543" s="27"/>
      <c r="F543" s="27"/>
      <c r="G543" s="14"/>
      <c r="H543" s="15" t="s">
        <v>618</v>
      </c>
    </row>
    <row r="544" ht="15.75" customHeight="1" spans="1:16" x14ac:dyDescent="0.25">
      <c r="A544" s="12">
        <f>_xlfn.AGGREGATE(3,3,$B$9:B544)</f>
        <v>518</v>
      </c>
      <c r="B544" s="12">
        <v>247060003</v>
      </c>
      <c r="C544" s="12" t="s">
        <v>142</v>
      </c>
      <c r="D544" s="12" t="s">
        <v>171</v>
      </c>
      <c r="E544" s="27"/>
      <c r="F544" s="27"/>
      <c r="G544" s="14"/>
      <c r="H544" s="15" t="s">
        <v>618</v>
      </c>
    </row>
    <row r="545" ht="15.75" customHeight="1" spans="1:16" x14ac:dyDescent="0.25">
      <c r="A545" s="12">
        <f>_xlfn.AGGREGATE(3,3,$B$9:B545)</f>
        <v>519</v>
      </c>
      <c r="B545" s="12">
        <v>247060005</v>
      </c>
      <c r="C545" s="12" t="s">
        <v>620</v>
      </c>
      <c r="D545" s="12" t="s">
        <v>208</v>
      </c>
      <c r="E545" s="27"/>
      <c r="F545" s="27"/>
      <c r="G545" s="14"/>
      <c r="H545" s="15" t="s">
        <v>618</v>
      </c>
    </row>
    <row r="546" ht="15.75" customHeight="1" spans="1:16" x14ac:dyDescent="0.25">
      <c r="A546" s="12">
        <f>_xlfn.AGGREGATE(3,3,$B$9:B546)</f>
        <v>520</v>
      </c>
      <c r="B546" s="12">
        <v>247060006</v>
      </c>
      <c r="C546" s="12" t="s">
        <v>621</v>
      </c>
      <c r="D546" s="12" t="s">
        <v>161</v>
      </c>
      <c r="E546" s="27"/>
      <c r="F546" s="27"/>
      <c r="G546" s="14"/>
      <c r="H546" s="15" t="s">
        <v>618</v>
      </c>
    </row>
    <row r="547" ht="15.75" customHeight="1" spans="1:16" x14ac:dyDescent="0.25">
      <c r="A547" s="12">
        <f>_xlfn.AGGREGATE(3,3,$B$9:B547)</f>
        <v>521</v>
      </c>
      <c r="B547" s="12">
        <v>247060007</v>
      </c>
      <c r="C547" s="12" t="s">
        <v>210</v>
      </c>
      <c r="D547" s="12" t="s">
        <v>622</v>
      </c>
      <c r="E547" s="27"/>
      <c r="F547" s="27"/>
      <c r="G547" s="14"/>
      <c r="H547" s="15" t="s">
        <v>618</v>
      </c>
    </row>
    <row r="548" ht="15.75" customHeight="1" spans="1:16" x14ac:dyDescent="0.25">
      <c r="A548" s="12">
        <f>_xlfn.AGGREGATE(3,3,$B$9:B548)</f>
        <v>522</v>
      </c>
      <c r="B548" s="12">
        <v>247060008</v>
      </c>
      <c r="C548" s="12" t="s">
        <v>325</v>
      </c>
      <c r="D548" s="12" t="s">
        <v>34</v>
      </c>
      <c r="E548" s="27"/>
      <c r="F548" s="27"/>
      <c r="G548" s="14"/>
      <c r="H548" s="15" t="s">
        <v>618</v>
      </c>
    </row>
    <row r="549" ht="15.75" customHeight="1" spans="1:16" x14ac:dyDescent="0.25">
      <c r="A549" s="12">
        <f>_xlfn.AGGREGATE(3,3,$B$9:B549)</f>
        <v>523</v>
      </c>
      <c r="B549" s="12">
        <v>247060009</v>
      </c>
      <c r="C549" s="12" t="s">
        <v>27</v>
      </c>
      <c r="D549" s="12" t="s">
        <v>109</v>
      </c>
      <c r="E549" s="27"/>
      <c r="F549" s="27"/>
      <c r="G549" s="14"/>
      <c r="H549" s="15" t="s">
        <v>618</v>
      </c>
    </row>
    <row r="550" ht="15.75" customHeight="1" spans="1:16" x14ac:dyDescent="0.25">
      <c r="A550" s="12">
        <f>_xlfn.AGGREGATE(3,3,$B$9:B550)</f>
        <v>524</v>
      </c>
      <c r="B550" s="12">
        <v>247060010</v>
      </c>
      <c r="C550" s="12" t="s">
        <v>623</v>
      </c>
      <c r="D550" s="12" t="s">
        <v>334</v>
      </c>
      <c r="E550" s="27"/>
      <c r="F550" s="27"/>
      <c r="G550" s="14"/>
      <c r="H550" s="22" t="s">
        <v>618</v>
      </c>
    </row>
    <row r="551" ht="15.75" customHeight="1" spans="1:16" x14ac:dyDescent="0.25">
      <c r="A551" s="12">
        <f>_xlfn.AGGREGATE(3,3,$B$9:B551)</f>
        <v>525</v>
      </c>
      <c r="B551" s="12">
        <v>247060011</v>
      </c>
      <c r="C551" s="12" t="s">
        <v>624</v>
      </c>
      <c r="D551" s="12" t="s">
        <v>24</v>
      </c>
      <c r="E551" s="27"/>
      <c r="F551" s="27"/>
      <c r="G551" s="14"/>
      <c r="H551" s="15" t="s">
        <v>618</v>
      </c>
    </row>
    <row r="552" ht="15.75" customHeight="1" spans="1:16" x14ac:dyDescent="0.25">
      <c r="A552" s="12">
        <f>_xlfn.AGGREGATE(3,3,$B$9:B552)</f>
        <v>526</v>
      </c>
      <c r="B552" s="12">
        <v>247060013</v>
      </c>
      <c r="C552" s="12" t="s">
        <v>44</v>
      </c>
      <c r="D552" s="12" t="s">
        <v>34</v>
      </c>
      <c r="E552" s="27"/>
      <c r="F552" s="27"/>
      <c r="G552" s="14"/>
      <c r="H552" s="15" t="s">
        <v>618</v>
      </c>
    </row>
    <row r="553" ht="15.75" customHeight="1" spans="1:16" x14ac:dyDescent="0.25">
      <c r="A553" s="12">
        <f>_xlfn.AGGREGATE(3,3,$B$9:B553)</f>
        <v>527</v>
      </c>
      <c r="B553" s="12">
        <v>247060014</v>
      </c>
      <c r="C553" s="12" t="s">
        <v>625</v>
      </c>
      <c r="D553" s="12" t="s">
        <v>626</v>
      </c>
      <c r="E553" s="27"/>
      <c r="F553" s="27"/>
      <c r="G553" s="14"/>
      <c r="H553" s="15" t="s">
        <v>618</v>
      </c>
    </row>
    <row r="554" ht="15.75" customHeight="1" spans="1:16" x14ac:dyDescent="0.25">
      <c r="A554" s="12">
        <f>_xlfn.AGGREGATE(3,3,$B$9:B554)</f>
        <v>528</v>
      </c>
      <c r="B554" s="12">
        <v>247060015</v>
      </c>
      <c r="C554" s="12" t="s">
        <v>627</v>
      </c>
      <c r="D554" s="12" t="s">
        <v>628</v>
      </c>
      <c r="E554" s="27"/>
      <c r="F554" s="27"/>
      <c r="G554" s="14"/>
      <c r="H554" s="15" t="s">
        <v>618</v>
      </c>
    </row>
    <row r="555" ht="15.75" customHeight="1" spans="1:16" x14ac:dyDescent="0.25">
      <c r="A555" s="12">
        <f>_xlfn.AGGREGATE(3,3,$B$9:B555)</f>
        <v>529</v>
      </c>
      <c r="B555" s="12">
        <v>247060016</v>
      </c>
      <c r="C555" s="12" t="s">
        <v>78</v>
      </c>
      <c r="D555" s="12" t="s">
        <v>102</v>
      </c>
      <c r="E555" s="27"/>
      <c r="F555" s="27"/>
      <c r="G555" s="14"/>
      <c r="H555" s="15" t="s">
        <v>618</v>
      </c>
    </row>
    <row r="556" ht="15.75" customHeight="1" spans="1:16" x14ac:dyDescent="0.25">
      <c r="A556" s="12">
        <f>_xlfn.AGGREGATE(3,3,$B$9:B556)</f>
        <v>530</v>
      </c>
      <c r="B556" s="12">
        <v>247060017</v>
      </c>
      <c r="C556" s="12" t="s">
        <v>629</v>
      </c>
      <c r="D556" s="12" t="s">
        <v>204</v>
      </c>
      <c r="E556" s="27"/>
      <c r="F556" s="27"/>
      <c r="G556" s="14"/>
      <c r="H556" s="15" t="s">
        <v>618</v>
      </c>
    </row>
    <row r="557" ht="15.75" customHeight="1" spans="1:16" x14ac:dyDescent="0.25">
      <c r="A557" s="12">
        <f>_xlfn.AGGREGATE(3,3,$B$9:B557)</f>
        <v>531</v>
      </c>
      <c r="B557" s="12">
        <v>247060018</v>
      </c>
      <c r="C557" s="12" t="s">
        <v>630</v>
      </c>
      <c r="D557" s="12" t="s">
        <v>631</v>
      </c>
      <c r="E557" s="27"/>
      <c r="F557" s="27"/>
      <c r="G557" s="14" t="str">
        <f>$G$533</f>
        <v>Trừ 10 điểm chưa CNTTSV</v>
      </c>
      <c r="H557" s="22" t="s">
        <v>618</v>
      </c>
    </row>
    <row r="558" ht="15.75" customHeight="1" spans="1:16" x14ac:dyDescent="0.25">
      <c r="A558" s="12">
        <f>_xlfn.AGGREGATE(3,3,$B$9:B558)</f>
        <v>532</v>
      </c>
      <c r="B558" s="12">
        <v>247060019</v>
      </c>
      <c r="C558" s="12" t="s">
        <v>632</v>
      </c>
      <c r="D558" s="12" t="s">
        <v>34</v>
      </c>
      <c r="E558" s="27"/>
      <c r="F558" s="27"/>
      <c r="G558" s="14"/>
      <c r="H558" s="15" t="s">
        <v>618</v>
      </c>
    </row>
    <row r="559" ht="15.75" customHeight="1" spans="1:16" x14ac:dyDescent="0.25">
      <c r="A559" s="12">
        <f>_xlfn.AGGREGATE(3,3,$B$9:B559)</f>
        <v>533</v>
      </c>
      <c r="B559" s="12">
        <v>247060020</v>
      </c>
      <c r="C559" s="12" t="s">
        <v>633</v>
      </c>
      <c r="D559" s="12" t="s">
        <v>30</v>
      </c>
      <c r="E559" s="27"/>
      <c r="F559" s="27"/>
      <c r="G559" s="14"/>
      <c r="H559" s="15" t="s">
        <v>618</v>
      </c>
    </row>
    <row r="560" ht="15.75" customHeight="1" spans="1:16" x14ac:dyDescent="0.25">
      <c r="A560" s="12">
        <f>_xlfn.AGGREGATE(3,3,$B$9:B560)</f>
        <v>534</v>
      </c>
      <c r="B560" s="12">
        <v>247060021</v>
      </c>
      <c r="C560" s="12" t="s">
        <v>210</v>
      </c>
      <c r="D560" s="12" t="s">
        <v>84</v>
      </c>
      <c r="E560" s="27"/>
      <c r="F560" s="27"/>
      <c r="G560" s="14"/>
      <c r="H560" s="15" t="s">
        <v>618</v>
      </c>
    </row>
    <row r="561" ht="15.75" customHeight="1" spans="1:16" x14ac:dyDescent="0.25">
      <c r="A561" s="12">
        <f>_xlfn.AGGREGATE(3,3,$B$9:B561)</f>
        <v>535</v>
      </c>
      <c r="B561" s="12">
        <v>247060022</v>
      </c>
      <c r="C561" s="12" t="s">
        <v>634</v>
      </c>
      <c r="D561" s="12" t="s">
        <v>299</v>
      </c>
      <c r="E561" s="27"/>
      <c r="F561" s="27"/>
      <c r="G561" s="14"/>
      <c r="H561" s="15" t="s">
        <v>618</v>
      </c>
    </row>
    <row r="562" ht="15.75" customHeight="1" spans="1:16" x14ac:dyDescent="0.25">
      <c r="A562" s="12">
        <f>_xlfn.AGGREGATE(3,3,$B$9:B562)</f>
        <v>536</v>
      </c>
      <c r="B562" s="12">
        <v>247060023</v>
      </c>
      <c r="C562" s="12" t="s">
        <v>635</v>
      </c>
      <c r="D562" s="12" t="s">
        <v>92</v>
      </c>
      <c r="E562" s="27"/>
      <c r="F562" s="27"/>
      <c r="G562" s="14"/>
      <c r="H562" s="15" t="s">
        <v>618</v>
      </c>
    </row>
    <row r="563" ht="15.75" customHeight="1" spans="1:16" x14ac:dyDescent="0.25">
      <c r="A563" s="12">
        <f>_xlfn.AGGREGATE(3,3,$B$9:B563)</f>
        <v>537</v>
      </c>
      <c r="B563" s="12">
        <v>247060024</v>
      </c>
      <c r="C563" s="12" t="s">
        <v>142</v>
      </c>
      <c r="D563" s="12" t="s">
        <v>530</v>
      </c>
      <c r="E563" s="27"/>
      <c r="F563" s="27"/>
      <c r="G563" s="14"/>
      <c r="H563" s="15" t="s">
        <v>618</v>
      </c>
    </row>
    <row r="564" ht="15.75" customHeight="1" spans="1:16" x14ac:dyDescent="0.25">
      <c r="A564" s="12">
        <f>_xlfn.AGGREGATE(3,3,$B$9:B564)</f>
        <v>538</v>
      </c>
      <c r="B564" s="12">
        <v>247060025</v>
      </c>
      <c r="C564" s="12" t="s">
        <v>17</v>
      </c>
      <c r="D564" s="12" t="s">
        <v>225</v>
      </c>
      <c r="E564" s="27"/>
      <c r="F564" s="27"/>
      <c r="G564" s="14"/>
      <c r="H564" s="15" t="s">
        <v>618</v>
      </c>
    </row>
    <row r="565" ht="15.75" customHeight="1" spans="1:16" x14ac:dyDescent="0.25">
      <c r="A565" s="12">
        <f>_xlfn.AGGREGATE(3,3,$B$9:B565)</f>
        <v>539</v>
      </c>
      <c r="B565" s="12">
        <v>247060026</v>
      </c>
      <c r="C565" s="12" t="s">
        <v>636</v>
      </c>
      <c r="D565" s="12" t="s">
        <v>70</v>
      </c>
      <c r="E565" s="27"/>
      <c r="F565" s="27"/>
      <c r="G565" s="14"/>
      <c r="H565" s="15" t="s">
        <v>618</v>
      </c>
    </row>
    <row r="566" ht="15.75" customHeight="1" spans="1:16" x14ac:dyDescent="0.25">
      <c r="A566" s="12">
        <f>_xlfn.AGGREGATE(3,3,$B$9:B566)</f>
        <v>540</v>
      </c>
      <c r="B566" s="12">
        <v>247060027</v>
      </c>
      <c r="C566" s="12" t="s">
        <v>637</v>
      </c>
      <c r="D566" s="12" t="s">
        <v>638</v>
      </c>
      <c r="E566" s="27"/>
      <c r="F566" s="27"/>
      <c r="G566" s="14"/>
      <c r="H566" s="15" t="s">
        <v>618</v>
      </c>
    </row>
    <row r="567" ht="15.75" customHeight="1" spans="1:16" x14ac:dyDescent="0.25">
      <c r="A567" s="12">
        <f>_xlfn.AGGREGATE(3,3,$B$9:B567)</f>
        <v>541</v>
      </c>
      <c r="B567" s="12">
        <v>247060028</v>
      </c>
      <c r="C567" s="12" t="s">
        <v>573</v>
      </c>
      <c r="D567" s="12" t="s">
        <v>90</v>
      </c>
      <c r="E567" s="27"/>
      <c r="F567" s="27"/>
      <c r="G567" s="14"/>
      <c r="H567" s="15" t="s">
        <v>618</v>
      </c>
    </row>
    <row r="568" ht="15.75" customHeight="1" spans="1:16" x14ac:dyDescent="0.25">
      <c r="A568" s="12">
        <f>_xlfn.AGGREGATE(3,3,$B$9:B568)</f>
        <v>542</v>
      </c>
      <c r="B568" s="12">
        <v>247060029</v>
      </c>
      <c r="C568" s="12" t="s">
        <v>81</v>
      </c>
      <c r="D568" s="12" t="s">
        <v>639</v>
      </c>
      <c r="E568" s="27"/>
      <c r="F568" s="27"/>
      <c r="G568" s="14"/>
      <c r="H568" s="15" t="s">
        <v>618</v>
      </c>
    </row>
    <row r="569" ht="15.75" customHeight="1" spans="1:16" x14ac:dyDescent="0.25">
      <c r="A569" s="12">
        <f>_xlfn.AGGREGATE(3,3,$B$9:B569)</f>
        <v>543</v>
      </c>
      <c r="B569" s="12">
        <v>247060030</v>
      </c>
      <c r="C569" s="12" t="s">
        <v>254</v>
      </c>
      <c r="D569" s="12" t="s">
        <v>132</v>
      </c>
      <c r="E569" s="27"/>
      <c r="F569" s="27"/>
      <c r="G569" s="14"/>
      <c r="H569" s="22" t="s">
        <v>618</v>
      </c>
    </row>
    <row r="570" ht="15.75" customHeight="1" spans="1:16" x14ac:dyDescent="0.25">
      <c r="A570" s="12">
        <f>_xlfn.AGGREGATE(3,3,$B$9:B570)</f>
        <v>544</v>
      </c>
      <c r="B570" s="12">
        <v>247060031</v>
      </c>
      <c r="C570" s="12" t="s">
        <v>640</v>
      </c>
      <c r="D570" s="12" t="s">
        <v>200</v>
      </c>
      <c r="E570" s="27"/>
      <c r="F570" s="27"/>
      <c r="G570" s="14"/>
      <c r="H570" s="15" t="s">
        <v>618</v>
      </c>
    </row>
    <row r="571" ht="15.75" customHeight="1" spans="1:16" x14ac:dyDescent="0.25">
      <c r="A571" s="12">
        <f>_xlfn.AGGREGATE(3,3,$B$9:B571)</f>
        <v>545</v>
      </c>
      <c r="B571" s="12">
        <v>247060032</v>
      </c>
      <c r="C571" s="12" t="s">
        <v>641</v>
      </c>
      <c r="D571" s="12" t="s">
        <v>60</v>
      </c>
      <c r="E571" s="27"/>
      <c r="F571" s="27"/>
      <c r="G571" s="14"/>
      <c r="H571" s="15" t="s">
        <v>618</v>
      </c>
    </row>
    <row r="572" ht="15.75" customHeight="1" spans="1:16" x14ac:dyDescent="0.25">
      <c r="A572" s="12">
        <f>_xlfn.AGGREGATE(3,3,$B$9:B572)</f>
        <v>546</v>
      </c>
      <c r="B572" s="12">
        <v>247060033</v>
      </c>
      <c r="C572" s="12" t="s">
        <v>642</v>
      </c>
      <c r="D572" s="12" t="s">
        <v>86</v>
      </c>
      <c r="E572" s="27"/>
      <c r="F572" s="27"/>
      <c r="G572" s="14"/>
      <c r="H572" s="15" t="s">
        <v>618</v>
      </c>
    </row>
    <row r="573" ht="15.75" customHeight="1" spans="1:16" x14ac:dyDescent="0.25">
      <c r="A573" s="12">
        <f>_xlfn.AGGREGATE(3,3,$B$9:B573)</f>
        <v>547</v>
      </c>
      <c r="B573" s="12">
        <v>247060034</v>
      </c>
      <c r="C573" s="12" t="s">
        <v>149</v>
      </c>
      <c r="D573" s="12" t="s">
        <v>387</v>
      </c>
      <c r="E573" s="27"/>
      <c r="F573" s="27"/>
      <c r="G573" s="14"/>
      <c r="H573" s="22" t="s">
        <v>618</v>
      </c>
    </row>
    <row r="574" ht="15.75" customHeight="1" spans="1:16" x14ac:dyDescent="0.25">
      <c r="A574" s="12">
        <f>_xlfn.AGGREGATE(3,3,$B$9:B574)</f>
        <v>548</v>
      </c>
      <c r="B574" s="12">
        <v>247060036</v>
      </c>
      <c r="C574" s="12" t="s">
        <v>643</v>
      </c>
      <c r="D574" s="12" t="s">
        <v>64</v>
      </c>
      <c r="E574" s="27"/>
      <c r="F574" s="27"/>
      <c r="G574" s="14"/>
      <c r="H574" s="15" t="s">
        <v>618</v>
      </c>
    </row>
    <row r="575" ht="15.75" customHeight="1" spans="1:16" x14ac:dyDescent="0.25">
      <c r="A575" s="12">
        <f>_xlfn.AGGREGATE(3,3,$B$9:B575)</f>
        <v>549</v>
      </c>
      <c r="B575" s="12">
        <v>247060037</v>
      </c>
      <c r="C575" s="12" t="s">
        <v>644</v>
      </c>
      <c r="D575" s="12" t="s">
        <v>58</v>
      </c>
      <c r="E575" s="27"/>
      <c r="F575" s="27"/>
      <c r="G575" s="14"/>
      <c r="H575" s="15" t="s">
        <v>618</v>
      </c>
    </row>
    <row r="576" ht="15.75" customHeight="1" spans="1:16" x14ac:dyDescent="0.25">
      <c r="A576" s="12">
        <f>_xlfn.AGGREGATE(3,3,$B$9:B576)</f>
        <v>550</v>
      </c>
      <c r="B576" s="12">
        <v>247060038</v>
      </c>
      <c r="C576" s="12" t="s">
        <v>645</v>
      </c>
      <c r="D576" s="12" t="s">
        <v>646</v>
      </c>
      <c r="E576" s="27"/>
      <c r="F576" s="27"/>
      <c r="G576" s="14"/>
      <c r="H576" s="15" t="s">
        <v>618</v>
      </c>
    </row>
    <row r="577" ht="15.75" customHeight="1" spans="1:16" x14ac:dyDescent="0.25">
      <c r="A577" s="12">
        <f>_xlfn.AGGREGATE(3,3,$B$9:B577)</f>
        <v>551</v>
      </c>
      <c r="B577" s="12">
        <v>247060039</v>
      </c>
      <c r="C577" s="12" t="s">
        <v>78</v>
      </c>
      <c r="D577" s="12" t="s">
        <v>504</v>
      </c>
      <c r="E577" s="27"/>
      <c r="F577" s="27"/>
      <c r="G577" s="14"/>
      <c r="H577" s="15" t="s">
        <v>618</v>
      </c>
    </row>
    <row r="578" ht="15.75" customHeight="1" spans="1:16" x14ac:dyDescent="0.25">
      <c r="A578" s="12">
        <f>_xlfn.AGGREGATE(3,3,$B$9:B578)</f>
        <v>552</v>
      </c>
      <c r="B578" s="12">
        <v>247060040</v>
      </c>
      <c r="C578" s="12" t="s">
        <v>647</v>
      </c>
      <c r="D578" s="12" t="s">
        <v>287</v>
      </c>
      <c r="E578" s="27"/>
      <c r="F578" s="27"/>
      <c r="G578" s="14"/>
      <c r="H578" s="15" t="s">
        <v>618</v>
      </c>
    </row>
    <row r="579" ht="15.75" customHeight="1" spans="1:16" x14ac:dyDescent="0.25">
      <c r="A579" s="12">
        <f>_xlfn.AGGREGATE(3,3,$B$9:B579)</f>
        <v>553</v>
      </c>
      <c r="B579" s="12">
        <v>247060041</v>
      </c>
      <c r="C579" s="12" t="s">
        <v>648</v>
      </c>
      <c r="D579" s="12" t="s">
        <v>107</v>
      </c>
      <c r="E579" s="27"/>
      <c r="F579" s="27"/>
      <c r="G579" s="14"/>
      <c r="H579" s="15" t="s">
        <v>618</v>
      </c>
    </row>
    <row r="580" ht="15.75" customHeight="1" spans="1:16" x14ac:dyDescent="0.25">
      <c r="A580" s="12">
        <f>_xlfn.AGGREGATE(3,3,$B$9:B580)</f>
        <v>554</v>
      </c>
      <c r="B580" s="12">
        <v>247060042</v>
      </c>
      <c r="C580" s="12" t="s">
        <v>649</v>
      </c>
      <c r="D580" s="12" t="s">
        <v>387</v>
      </c>
      <c r="E580" s="27"/>
      <c r="F580" s="27"/>
      <c r="G580" s="14"/>
      <c r="H580" s="15" t="s">
        <v>618</v>
      </c>
    </row>
    <row r="581" ht="15.75" customHeight="1" spans="1:16" x14ac:dyDescent="0.25">
      <c r="A581" s="12">
        <f>_xlfn.AGGREGATE(3,3,$B$9:B581)</f>
        <v>555</v>
      </c>
      <c r="B581" s="12">
        <v>247060043</v>
      </c>
      <c r="C581" s="12" t="s">
        <v>650</v>
      </c>
      <c r="D581" s="12" t="s">
        <v>217</v>
      </c>
      <c r="E581" s="27"/>
      <c r="F581" s="27"/>
      <c r="G581" s="14"/>
      <c r="H581" s="15" t="s">
        <v>618</v>
      </c>
    </row>
    <row r="582" ht="15.75" customHeight="1" spans="1:16" x14ac:dyDescent="0.25">
      <c r="A582" s="12">
        <f>_xlfn.AGGREGATE(3,3,$B$9:B582)</f>
        <v>556</v>
      </c>
      <c r="B582" s="12">
        <v>247060044</v>
      </c>
      <c r="C582" s="12" t="s">
        <v>406</v>
      </c>
      <c r="D582" s="12" t="s">
        <v>66</v>
      </c>
      <c r="E582" s="27"/>
      <c r="F582" s="27"/>
      <c r="G582" s="14"/>
      <c r="H582" s="15" t="s">
        <v>618</v>
      </c>
    </row>
    <row r="583" ht="15.75" customHeight="1" spans="1:16" x14ac:dyDescent="0.25">
      <c r="A583" s="12">
        <f>_xlfn.AGGREGATE(3,3,$B$9:B583)</f>
        <v>557</v>
      </c>
      <c r="B583" s="12">
        <v>247060045</v>
      </c>
      <c r="C583" s="12" t="s">
        <v>651</v>
      </c>
      <c r="D583" s="12" t="s">
        <v>34</v>
      </c>
      <c r="E583" s="27"/>
      <c r="F583" s="27"/>
      <c r="G583" s="14"/>
      <c r="H583" s="15" t="s">
        <v>618</v>
      </c>
    </row>
    <row r="584" ht="15.75" customHeight="1" spans="1:16" x14ac:dyDescent="0.25">
      <c r="A584" s="12">
        <f>_xlfn.AGGREGATE(3,3,$B$9:B584)</f>
        <v>558</v>
      </c>
      <c r="B584" s="12">
        <v>247060046</v>
      </c>
      <c r="C584" s="12" t="s">
        <v>81</v>
      </c>
      <c r="D584" s="12" t="s">
        <v>70</v>
      </c>
      <c r="E584" s="27"/>
      <c r="F584" s="27"/>
      <c r="G584" s="14"/>
      <c r="H584" s="22" t="s">
        <v>618</v>
      </c>
    </row>
    <row r="585" ht="15.75" customHeight="1" spans="1:16" x14ac:dyDescent="0.25">
      <c r="A585" s="12">
        <f>_xlfn.AGGREGATE(3,3,$B$9:B585)</f>
        <v>559</v>
      </c>
      <c r="B585" s="12">
        <v>247060047</v>
      </c>
      <c r="C585" s="12" t="s">
        <v>652</v>
      </c>
      <c r="D585" s="12" t="s">
        <v>314</v>
      </c>
      <c r="E585" s="27"/>
      <c r="F585" s="27"/>
      <c r="G585" s="14"/>
      <c r="H585" s="15" t="s">
        <v>618</v>
      </c>
    </row>
    <row r="586" ht="15.75" customHeight="1" spans="1:16" x14ac:dyDescent="0.25">
      <c r="A586" s="12">
        <f>_xlfn.AGGREGATE(3,3,$B$9:B586)</f>
        <v>560</v>
      </c>
      <c r="B586" s="12">
        <v>247060048</v>
      </c>
      <c r="C586" s="12" t="s">
        <v>388</v>
      </c>
      <c r="D586" s="12" t="s">
        <v>232</v>
      </c>
      <c r="E586" s="27"/>
      <c r="F586" s="27"/>
      <c r="G586" s="14"/>
      <c r="H586" s="15" t="s">
        <v>618</v>
      </c>
    </row>
    <row r="587" ht="15.75" customHeight="1" spans="1:16" x14ac:dyDescent="0.25">
      <c r="A587" s="12">
        <f>_xlfn.AGGREGATE(3,3,$B$9:B587)</f>
        <v>561</v>
      </c>
      <c r="B587" s="12">
        <v>247060049</v>
      </c>
      <c r="C587" s="12" t="s">
        <v>69</v>
      </c>
      <c r="D587" s="12" t="s">
        <v>615</v>
      </c>
      <c r="E587" s="27"/>
      <c r="F587" s="27"/>
      <c r="G587" s="14"/>
      <c r="H587" s="15" t="s">
        <v>618</v>
      </c>
    </row>
    <row r="588" ht="15.75" customHeight="1" spans="1:16" x14ac:dyDescent="0.25">
      <c r="A588" s="12">
        <f>_xlfn.AGGREGATE(3,3,$B$9:B588)</f>
        <v>562</v>
      </c>
      <c r="B588" s="12">
        <v>247060050</v>
      </c>
      <c r="C588" s="12" t="s">
        <v>653</v>
      </c>
      <c r="D588" s="12" t="s">
        <v>232</v>
      </c>
      <c r="E588" s="27"/>
      <c r="F588" s="27"/>
      <c r="G588" s="14" t="str">
        <f>$G$533</f>
        <v>Trừ 10 điểm chưa CNTTSV</v>
      </c>
      <c r="H588" s="15" t="s">
        <v>618</v>
      </c>
    </row>
    <row r="589" ht="15.75" customHeight="1" spans="1:16" x14ac:dyDescent="0.25">
      <c r="A589" s="12"/>
      <c r="B589" s="12"/>
      <c r="C589" s="12"/>
      <c r="D589" s="12"/>
      <c r="E589" s="27"/>
      <c r="F589" s="27"/>
      <c r="G589" s="14"/>
      <c r="H589" s="15"/>
    </row>
    <row r="590" ht="15.75" customHeight="1" spans="1:16" x14ac:dyDescent="0.25">
      <c r="A590" s="12"/>
      <c r="B590" s="12"/>
      <c r="C590" s="12"/>
      <c r="D590" s="12"/>
      <c r="E590" s="27"/>
      <c r="F590" s="27"/>
      <c r="G590" s="14"/>
      <c r="H590" s="15"/>
    </row>
    <row r="591" ht="15.75" customHeight="1" spans="1:16" x14ac:dyDescent="0.25">
      <c r="A591" s="12"/>
      <c r="B591" s="12"/>
      <c r="C591" s="12"/>
      <c r="D591" s="12"/>
      <c r="E591" s="27"/>
      <c r="F591" s="27"/>
      <c r="G591" s="14"/>
      <c r="H591" s="15"/>
    </row>
    <row r="592" ht="15.75" customHeight="1" spans="1:16" x14ac:dyDescent="0.25">
      <c r="A592" s="12"/>
      <c r="B592" s="12"/>
      <c r="C592" s="12"/>
      <c r="D592" s="12"/>
      <c r="E592" s="27"/>
      <c r="F592" s="27"/>
      <c r="G592" s="14"/>
      <c r="H592" s="22"/>
    </row>
    <row r="593" ht="15.75" customHeight="1" spans="1:16" x14ac:dyDescent="0.25">
      <c r="A593" s="12"/>
      <c r="B593" s="12"/>
      <c r="C593" s="12"/>
      <c r="D593" s="12"/>
      <c r="E593" s="27"/>
      <c r="F593" s="27"/>
      <c r="G593" s="14"/>
      <c r="H593" s="15"/>
    </row>
    <row r="594" ht="15.75" customHeight="1" spans="1:16" x14ac:dyDescent="0.25">
      <c r="A594" s="12"/>
      <c r="B594" s="12"/>
      <c r="C594" s="12"/>
      <c r="D594" s="12"/>
      <c r="E594" s="27"/>
      <c r="F594" s="27"/>
      <c r="G594" s="14"/>
      <c r="H594" s="15"/>
    </row>
    <row r="595" ht="15.75" customHeight="1" spans="1:16" x14ac:dyDescent="0.25">
      <c r="A595" s="12"/>
      <c r="B595" s="12"/>
      <c r="C595" s="12"/>
      <c r="D595" s="12"/>
      <c r="E595" s="27"/>
      <c r="F595" s="27"/>
      <c r="G595" s="14"/>
      <c r="H595" s="22"/>
    </row>
    <row r="596" ht="15.75" customHeight="1" spans="1:16" x14ac:dyDescent="0.25">
      <c r="A596" s="12"/>
      <c r="B596" s="12"/>
      <c r="C596" s="12"/>
      <c r="D596" s="12"/>
      <c r="E596" s="27"/>
      <c r="F596" s="27"/>
      <c r="G596" s="14"/>
      <c r="H596" s="22"/>
    </row>
    <row r="597" ht="15.75" customHeight="1" spans="1:16" x14ac:dyDescent="0.25">
      <c r="A597" s="12"/>
      <c r="B597" s="12"/>
      <c r="C597" s="12"/>
      <c r="D597" s="12"/>
      <c r="E597" s="27"/>
      <c r="F597" s="27"/>
      <c r="G597" s="14"/>
      <c r="H597" s="22"/>
    </row>
    <row r="598" ht="15.75" customHeight="1" spans="1:16" x14ac:dyDescent="0.25">
      <c r="A598" s="12"/>
      <c r="B598" s="12"/>
      <c r="C598" s="12"/>
      <c r="D598" s="12"/>
      <c r="E598" s="27"/>
      <c r="F598" s="27"/>
      <c r="G598" s="14"/>
      <c r="H598" s="15"/>
    </row>
    <row r="599" ht="15.75" customHeight="1" spans="1:16" x14ac:dyDescent="0.25">
      <c r="A599" s="12"/>
      <c r="B599" s="12"/>
      <c r="C599" s="12"/>
      <c r="D599" s="12"/>
      <c r="E599" s="27"/>
      <c r="F599" s="27"/>
      <c r="G599" s="14"/>
      <c r="H599" s="15"/>
    </row>
    <row r="600" ht="15.75" customHeight="1" spans="1:16" x14ac:dyDescent="0.25">
      <c r="A600" s="12"/>
      <c r="B600" s="12"/>
      <c r="C600" s="12"/>
      <c r="D600" s="12"/>
      <c r="E600" s="27"/>
      <c r="F600" s="27"/>
      <c r="G600" s="14"/>
      <c r="H600" s="15"/>
    </row>
    <row r="601" ht="15.75" customHeight="1" spans="1:16" x14ac:dyDescent="0.25">
      <c r="A601" s="12"/>
      <c r="B601" s="12"/>
      <c r="C601" s="12"/>
      <c r="D601" s="12"/>
      <c r="E601" s="13"/>
      <c r="F601" s="13"/>
      <c r="G601" s="14"/>
      <c r="H601" s="22"/>
    </row>
    <row r="602" ht="15.75" customHeight="1" spans="1:16" x14ac:dyDescent="0.25">
      <c r="A602" s="12"/>
      <c r="B602" s="12"/>
      <c r="C602" s="12"/>
      <c r="D602" s="12"/>
      <c r="E602" s="13"/>
      <c r="F602" s="13"/>
      <c r="G602" s="14"/>
      <c r="H602" s="15"/>
    </row>
    <row r="603" ht="15.75" customHeight="1" spans="1:16" x14ac:dyDescent="0.25">
      <c r="A603" s="12"/>
      <c r="B603" s="12"/>
      <c r="C603" s="12"/>
      <c r="D603" s="12"/>
      <c r="E603" s="13"/>
      <c r="F603" s="13"/>
      <c r="G603" s="14"/>
      <c r="H603" s="22"/>
    </row>
    <row r="604" ht="15.75" customHeight="1" spans="1:16" x14ac:dyDescent="0.25">
      <c r="A604" s="12"/>
      <c r="B604" s="12"/>
      <c r="C604" s="12"/>
      <c r="D604" s="12"/>
      <c r="E604" s="13"/>
      <c r="F604" s="13"/>
      <c r="G604" s="14"/>
      <c r="H604" s="15"/>
    </row>
    <row r="605" ht="15.75" customHeight="1" spans="1:16" x14ac:dyDescent="0.25">
      <c r="A605" s="12"/>
      <c r="B605" s="12"/>
      <c r="C605" s="12"/>
      <c r="D605" s="12"/>
      <c r="E605" s="13"/>
      <c r="F605" s="13"/>
      <c r="G605" s="14"/>
      <c r="H605" s="15"/>
    </row>
    <row r="606" ht="15.75" customHeight="1" spans="1:16" x14ac:dyDescent="0.25">
      <c r="A606" s="12"/>
      <c r="B606" s="12"/>
      <c r="C606" s="12"/>
      <c r="D606" s="12"/>
      <c r="E606" s="13"/>
      <c r="F606" s="13"/>
      <c r="G606" s="14"/>
      <c r="H606" s="15"/>
    </row>
    <row r="607" ht="15.75" customHeight="1" spans="1:16" x14ac:dyDescent="0.25">
      <c r="A607" s="12"/>
      <c r="B607" s="28"/>
      <c r="C607" s="28"/>
      <c r="D607" s="28"/>
      <c r="E607" s="29"/>
      <c r="F607" s="29"/>
      <c r="G607" s="30"/>
      <c r="H607" s="31"/>
    </row>
    <row r="608" ht="15.75" customHeight="1" spans="1:16" x14ac:dyDescent="0.25">
      <c r="A608" s="12"/>
      <c r="B608" s="12"/>
      <c r="C608" s="12"/>
      <c r="D608" s="12"/>
      <c r="E608" s="13"/>
      <c r="F608" s="13"/>
      <c r="G608" s="14"/>
      <c r="H608" s="22"/>
    </row>
    <row r="609" ht="15.75" customHeight="1" spans="1:16" x14ac:dyDescent="0.25">
      <c r="A609" s="12"/>
      <c r="B609" s="12"/>
      <c r="C609" s="12"/>
      <c r="D609" s="12"/>
      <c r="E609" s="13"/>
      <c r="F609" s="13"/>
      <c r="G609" s="14"/>
      <c r="H609" s="22"/>
    </row>
    <row r="610" ht="15.75" customHeight="1" spans="1:16" x14ac:dyDescent="0.25">
      <c r="A610" s="12"/>
      <c r="B610" s="12"/>
      <c r="C610" s="12"/>
      <c r="D610" s="12"/>
      <c r="E610" s="13"/>
      <c r="F610" s="13"/>
      <c r="G610" s="14"/>
      <c r="H610" s="15"/>
    </row>
    <row r="611" ht="15.75" customHeight="1" spans="1:16" x14ac:dyDescent="0.25">
      <c r="A611" s="12"/>
      <c r="B611" s="12"/>
      <c r="C611" s="12"/>
      <c r="D611" s="12"/>
      <c r="E611" s="13"/>
      <c r="F611" s="13"/>
      <c r="G611" s="14"/>
      <c r="H611" s="22"/>
    </row>
    <row r="612" ht="15.75" customHeight="1" spans="1:16" x14ac:dyDescent="0.25">
      <c r="A612" s="12"/>
      <c r="B612" s="12"/>
      <c r="C612" s="12"/>
      <c r="D612" s="12"/>
      <c r="E612" s="13"/>
      <c r="F612" s="13"/>
      <c r="G612" s="14"/>
      <c r="H612" s="15"/>
    </row>
    <row r="613" ht="15.75" customHeight="1" spans="1:16" x14ac:dyDescent="0.25">
      <c r="A613" s="12"/>
      <c r="B613" s="12"/>
      <c r="C613" s="12"/>
      <c r="D613" s="12"/>
      <c r="E613" s="13"/>
      <c r="F613" s="13"/>
      <c r="G613" s="14"/>
      <c r="H613" s="15"/>
    </row>
    <row r="614" ht="15.75" customHeight="1" spans="1:16" x14ac:dyDescent="0.25">
      <c r="A614" s="12"/>
      <c r="B614" s="12"/>
      <c r="C614" s="12"/>
      <c r="D614" s="12"/>
      <c r="E614" s="13"/>
      <c r="F614" s="13"/>
      <c r="G614" s="14"/>
      <c r="H614" s="15"/>
    </row>
    <row r="615" ht="15.75" customHeight="1" spans="1:16" x14ac:dyDescent="0.25">
      <c r="A615" s="12"/>
      <c r="B615" s="12"/>
      <c r="C615" s="12"/>
      <c r="D615" s="12"/>
      <c r="E615" s="13"/>
      <c r="F615" s="13"/>
      <c r="G615" s="14"/>
      <c r="H615" s="22"/>
    </row>
    <row r="616" ht="15.75" customHeight="1" spans="1:16" x14ac:dyDescent="0.25">
      <c r="A616" s="12"/>
      <c r="B616" s="12"/>
      <c r="C616" s="12"/>
      <c r="D616" s="12"/>
      <c r="E616" s="13"/>
      <c r="F616" s="13"/>
      <c r="G616" s="14"/>
      <c r="H616" s="15"/>
    </row>
    <row r="617" ht="15.75" customHeight="1" spans="1:16" x14ac:dyDescent="0.25">
      <c r="A617" s="12"/>
      <c r="B617" s="12"/>
      <c r="C617" s="12"/>
      <c r="D617" s="12"/>
      <c r="E617" s="13"/>
      <c r="F617" s="13"/>
      <c r="G617" s="14"/>
      <c r="H617" s="22"/>
    </row>
    <row r="618" ht="15.75" customHeight="1" spans="1:16" x14ac:dyDescent="0.25">
      <c r="A618" s="12"/>
      <c r="B618" s="12"/>
      <c r="C618" s="12"/>
      <c r="D618" s="12"/>
      <c r="E618" s="13"/>
      <c r="F618" s="13"/>
      <c r="G618" s="14"/>
      <c r="H618" s="15"/>
    </row>
    <row r="619" ht="15.75" customHeight="1" spans="1:16" x14ac:dyDescent="0.25">
      <c r="A619" s="12"/>
      <c r="B619" s="12"/>
      <c r="C619" s="12"/>
      <c r="D619" s="12"/>
      <c r="E619" s="13"/>
      <c r="F619" s="13"/>
      <c r="G619" s="14"/>
      <c r="H619" s="22"/>
    </row>
    <row r="620" ht="15.75" customHeight="1" spans="1:16" x14ac:dyDescent="0.25">
      <c r="A620" s="12">
        <f>_xlfn.AGGREGATE(3,3,$B$9:B620)</f>
        <v>563</v>
      </c>
      <c r="B620" s="12">
        <v>247060080</v>
      </c>
      <c r="C620" s="12" t="s">
        <v>78</v>
      </c>
      <c r="D620" s="12" t="s">
        <v>378</v>
      </c>
      <c r="E620" s="13"/>
      <c r="F620" s="13"/>
      <c r="G620" s="14"/>
      <c r="H620" s="22" t="s">
        <v>654</v>
      </c>
    </row>
    <row r="621" ht="15.75" customHeight="1" spans="1:16" x14ac:dyDescent="0.25">
      <c r="A621" s="12">
        <f>_xlfn.AGGREGATE(3,3,$B$9:B621)</f>
        <v>564</v>
      </c>
      <c r="B621" s="12">
        <v>247060081</v>
      </c>
      <c r="C621" s="12" t="s">
        <v>655</v>
      </c>
      <c r="D621" s="12" t="s">
        <v>90</v>
      </c>
      <c r="E621" s="13"/>
      <c r="F621" s="13"/>
      <c r="G621" s="14"/>
      <c r="H621" s="15" t="s">
        <v>654</v>
      </c>
    </row>
    <row r="622" ht="15.75" customHeight="1" spans="1:16" x14ac:dyDescent="0.25">
      <c r="A622" s="12">
        <f>_xlfn.AGGREGATE(3,3,$B$9:B622)</f>
        <v>565</v>
      </c>
      <c r="B622" s="12">
        <v>247060082</v>
      </c>
      <c r="C622" s="12" t="s">
        <v>562</v>
      </c>
      <c r="D622" s="12" t="s">
        <v>235</v>
      </c>
      <c r="E622" s="13"/>
      <c r="F622" s="13"/>
      <c r="G622" s="14"/>
      <c r="H622" s="22" t="s">
        <v>654</v>
      </c>
    </row>
    <row r="623" ht="15.75" customHeight="1" spans="1:16" x14ac:dyDescent="0.25">
      <c r="A623" s="12">
        <f>_xlfn.AGGREGATE(3,3,$B$9:B623)</f>
        <v>566</v>
      </c>
      <c r="B623" s="12">
        <v>247060083</v>
      </c>
      <c r="C623" s="12" t="s">
        <v>555</v>
      </c>
      <c r="D623" s="12" t="s">
        <v>656</v>
      </c>
      <c r="E623" s="13"/>
      <c r="F623" s="13"/>
      <c r="G623" s="14"/>
      <c r="H623" s="15" t="s">
        <v>654</v>
      </c>
    </row>
    <row r="624" ht="15.75" customHeight="1" spans="1:16" x14ac:dyDescent="0.25">
      <c r="A624" s="12">
        <f>_xlfn.AGGREGATE(3,3,$B$9:B624)</f>
        <v>567</v>
      </c>
      <c r="B624" s="12">
        <v>247060084</v>
      </c>
      <c r="C624" s="12" t="s">
        <v>657</v>
      </c>
      <c r="D624" s="12" t="s">
        <v>86</v>
      </c>
      <c r="E624" s="13"/>
      <c r="F624" s="13"/>
      <c r="G624" s="14"/>
      <c r="H624" s="15" t="s">
        <v>654</v>
      </c>
    </row>
    <row r="625" ht="15.75" customHeight="1" spans="1:16" x14ac:dyDescent="0.25">
      <c r="A625" s="12">
        <f>_xlfn.AGGREGATE(3,3,$B$9:B625)</f>
        <v>568</v>
      </c>
      <c r="B625" s="12">
        <v>247060085</v>
      </c>
      <c r="C625" s="12" t="s">
        <v>346</v>
      </c>
      <c r="D625" s="12" t="s">
        <v>30</v>
      </c>
      <c r="E625" s="13"/>
      <c r="F625" s="13"/>
      <c r="G625" s="14"/>
      <c r="H625" s="15" t="s">
        <v>654</v>
      </c>
    </row>
    <row r="626" ht="15.75" customHeight="1" spans="1:16" x14ac:dyDescent="0.25">
      <c r="A626" s="12">
        <f>_xlfn.AGGREGATE(3,3,$B$9:B626)</f>
        <v>569</v>
      </c>
      <c r="B626" s="12">
        <v>247060086</v>
      </c>
      <c r="C626" s="12" t="s">
        <v>658</v>
      </c>
      <c r="D626" s="12" t="s">
        <v>241</v>
      </c>
      <c r="E626" s="13"/>
      <c r="F626" s="13"/>
      <c r="G626" s="14"/>
      <c r="H626" s="22" t="s">
        <v>654</v>
      </c>
    </row>
    <row r="627" ht="15.75" customHeight="1" spans="1:16" x14ac:dyDescent="0.25">
      <c r="A627" s="12">
        <f>_xlfn.AGGREGATE(3,3,$B$9:B627)</f>
        <v>570</v>
      </c>
      <c r="B627" s="12">
        <v>247060087</v>
      </c>
      <c r="C627" s="12" t="s">
        <v>659</v>
      </c>
      <c r="D627" s="12" t="s">
        <v>660</v>
      </c>
      <c r="E627" s="13"/>
      <c r="F627" s="13"/>
      <c r="G627" s="14"/>
      <c r="H627" s="22" t="s">
        <v>654</v>
      </c>
    </row>
    <row r="628" ht="15.75" customHeight="1" spans="1:16" x14ac:dyDescent="0.25">
      <c r="A628" s="12">
        <f>_xlfn.AGGREGATE(3,3,$B$9:B628)</f>
        <v>571</v>
      </c>
      <c r="B628" s="12">
        <v>247060088</v>
      </c>
      <c r="C628" s="12" t="s">
        <v>661</v>
      </c>
      <c r="D628" s="12" t="s">
        <v>662</v>
      </c>
      <c r="E628" s="13"/>
      <c r="F628" s="13"/>
      <c r="G628" s="14"/>
      <c r="H628" s="15" t="s">
        <v>654</v>
      </c>
    </row>
    <row r="629" ht="15.75" customHeight="1" spans="1:16" x14ac:dyDescent="0.25">
      <c r="A629" s="12">
        <f>_xlfn.AGGREGATE(3,3,$B$9:B629)</f>
        <v>572</v>
      </c>
      <c r="B629" s="12">
        <v>247060089</v>
      </c>
      <c r="C629" s="12" t="s">
        <v>551</v>
      </c>
      <c r="D629" s="12" t="s">
        <v>58</v>
      </c>
      <c r="E629" s="13"/>
      <c r="F629" s="13"/>
      <c r="G629" s="14"/>
      <c r="H629" s="22" t="s">
        <v>654</v>
      </c>
    </row>
    <row r="630" ht="15.75" customHeight="1" spans="1:16" x14ac:dyDescent="0.25">
      <c r="A630" s="12">
        <f>_xlfn.AGGREGATE(3,3,$B$9:B630)</f>
        <v>573</v>
      </c>
      <c r="B630" s="12">
        <v>247060090</v>
      </c>
      <c r="C630" s="12" t="s">
        <v>379</v>
      </c>
      <c r="D630" s="12" t="s">
        <v>84</v>
      </c>
      <c r="E630" s="13"/>
      <c r="F630" s="13"/>
      <c r="G630" s="14" t="str">
        <f>$G$533</f>
        <v>Trừ 10 điểm chưa CNTTSV</v>
      </c>
      <c r="H630" s="22" t="s">
        <v>654</v>
      </c>
    </row>
    <row r="631" ht="15.75" customHeight="1" spans="1:16" x14ac:dyDescent="0.25">
      <c r="A631" s="12">
        <f>_xlfn.AGGREGATE(3,3,$B$9:B631)</f>
        <v>574</v>
      </c>
      <c r="B631" s="12">
        <v>247060091</v>
      </c>
      <c r="C631" s="12" t="s">
        <v>319</v>
      </c>
      <c r="D631" s="12" t="s">
        <v>126</v>
      </c>
      <c r="E631" s="13"/>
      <c r="F631" s="13"/>
      <c r="G631" s="14"/>
      <c r="H631" s="15" t="s">
        <v>654</v>
      </c>
    </row>
    <row r="632" ht="15.75" customHeight="1" spans="1:16" x14ac:dyDescent="0.25">
      <c r="A632" s="12">
        <f>_xlfn.AGGREGATE(3,3,$B$9:B632)</f>
        <v>575</v>
      </c>
      <c r="B632" s="12">
        <v>247060092</v>
      </c>
      <c r="C632" s="12" t="s">
        <v>641</v>
      </c>
      <c r="D632" s="12" t="s">
        <v>64</v>
      </c>
      <c r="E632" s="13"/>
      <c r="F632" s="13"/>
      <c r="G632" s="14"/>
      <c r="H632" s="15" t="s">
        <v>654</v>
      </c>
    </row>
    <row r="633" ht="15.75" customHeight="1" spans="1:16" x14ac:dyDescent="0.25">
      <c r="A633" s="12">
        <f>_xlfn.AGGREGATE(3,3,$B$9:B633)</f>
        <v>576</v>
      </c>
      <c r="B633" s="12">
        <v>247060093</v>
      </c>
      <c r="C633" s="12" t="s">
        <v>663</v>
      </c>
      <c r="D633" s="12" t="s">
        <v>357</v>
      </c>
      <c r="E633" s="13"/>
      <c r="F633" s="13"/>
      <c r="G633" s="14"/>
      <c r="H633" s="15" t="s">
        <v>654</v>
      </c>
    </row>
    <row r="634" ht="15.75" customHeight="1" spans="1:16" x14ac:dyDescent="0.25">
      <c r="A634" s="12">
        <f>_xlfn.AGGREGATE(3,3,$B$9:B634)</f>
        <v>577</v>
      </c>
      <c r="B634" s="12">
        <v>247060094</v>
      </c>
      <c r="C634" s="12" t="s">
        <v>664</v>
      </c>
      <c r="D634" s="12" t="s">
        <v>109</v>
      </c>
      <c r="E634" s="13"/>
      <c r="F634" s="13"/>
      <c r="G634" s="14"/>
      <c r="H634" s="22" t="s">
        <v>654</v>
      </c>
    </row>
    <row r="635" ht="15.75" customHeight="1" spans="1:16" x14ac:dyDescent="0.25">
      <c r="A635" s="12">
        <f>_xlfn.AGGREGATE(3,3,$B$9:B635)</f>
        <v>578</v>
      </c>
      <c r="B635" s="12">
        <v>247060096</v>
      </c>
      <c r="C635" s="12" t="s">
        <v>140</v>
      </c>
      <c r="D635" s="12" t="s">
        <v>387</v>
      </c>
      <c r="E635" s="13"/>
      <c r="F635" s="13"/>
      <c r="G635" s="14"/>
      <c r="H635" s="15" t="s">
        <v>654</v>
      </c>
    </row>
    <row r="636" ht="15.75" customHeight="1" spans="1:16" x14ac:dyDescent="0.25">
      <c r="A636" s="12">
        <f>_xlfn.AGGREGATE(3,3,$B$9:B636)</f>
        <v>579</v>
      </c>
      <c r="B636" s="12">
        <v>247060097</v>
      </c>
      <c r="C636" s="12" t="s">
        <v>79</v>
      </c>
      <c r="D636" s="12" t="s">
        <v>204</v>
      </c>
      <c r="E636" s="13"/>
      <c r="F636" s="13"/>
      <c r="G636" s="14"/>
      <c r="H636" s="15" t="s">
        <v>654</v>
      </c>
    </row>
    <row r="637" ht="15.75" customHeight="1" spans="1:16" x14ac:dyDescent="0.25">
      <c r="A637" s="12">
        <f>_xlfn.AGGREGATE(3,3,$B$9:B637)</f>
        <v>580</v>
      </c>
      <c r="B637" s="12">
        <v>247060099</v>
      </c>
      <c r="C637" s="12" t="s">
        <v>665</v>
      </c>
      <c r="D637" s="12" t="s">
        <v>338</v>
      </c>
      <c r="E637" s="13"/>
      <c r="F637" s="13"/>
      <c r="G637" s="14"/>
      <c r="H637" s="22" t="s">
        <v>654</v>
      </c>
    </row>
    <row r="638" ht="15.75" customHeight="1" spans="1:16" x14ac:dyDescent="0.25">
      <c r="A638" s="12">
        <f>_xlfn.AGGREGATE(3,3,$B$9:B638)</f>
        <v>581</v>
      </c>
      <c r="B638" s="12">
        <v>247060100</v>
      </c>
      <c r="C638" s="12" t="s">
        <v>666</v>
      </c>
      <c r="D638" s="12" t="s">
        <v>180</v>
      </c>
      <c r="E638" s="13"/>
      <c r="F638" s="13"/>
      <c r="G638" s="14"/>
      <c r="H638" s="15" t="s">
        <v>654</v>
      </c>
    </row>
    <row r="639" ht="15.75" customHeight="1" spans="1:16" x14ac:dyDescent="0.25">
      <c r="A639" s="12">
        <f>_xlfn.AGGREGATE(3,3,$B$9:B639)</f>
        <v>582</v>
      </c>
      <c r="B639" s="12">
        <v>247060101</v>
      </c>
      <c r="C639" s="12" t="s">
        <v>655</v>
      </c>
      <c r="D639" s="12" t="s">
        <v>204</v>
      </c>
      <c r="E639" s="13"/>
      <c r="F639" s="13"/>
      <c r="G639" s="14"/>
      <c r="H639" s="15" t="s">
        <v>654</v>
      </c>
    </row>
    <row r="640" ht="15.75" customHeight="1" spans="1:16" x14ac:dyDescent="0.25">
      <c r="A640" s="12">
        <f>_xlfn.AGGREGATE(3,3,$B$9:B640)</f>
        <v>583</v>
      </c>
      <c r="B640" s="12">
        <v>247060102</v>
      </c>
      <c r="C640" s="12" t="s">
        <v>221</v>
      </c>
      <c r="D640" s="12" t="s">
        <v>667</v>
      </c>
      <c r="E640" s="13"/>
      <c r="F640" s="13"/>
      <c r="G640" s="14" t="str">
        <f>$G$533</f>
        <v>Trừ 10 điểm chưa CNTTSV</v>
      </c>
      <c r="H640" s="22" t="s">
        <v>654</v>
      </c>
    </row>
    <row r="641" ht="15.75" customHeight="1" spans="1:16" x14ac:dyDescent="0.25">
      <c r="A641" s="12">
        <f>_xlfn.AGGREGATE(3,3,$B$9:B641)</f>
        <v>584</v>
      </c>
      <c r="B641" s="12">
        <v>247060103</v>
      </c>
      <c r="C641" s="12" t="s">
        <v>254</v>
      </c>
      <c r="D641" s="12" t="s">
        <v>550</v>
      </c>
      <c r="E641" s="13"/>
      <c r="F641" s="13"/>
      <c r="G641" s="14"/>
      <c r="H641" s="22" t="s">
        <v>654</v>
      </c>
    </row>
    <row r="642" ht="15.75" customHeight="1" spans="1:16" x14ac:dyDescent="0.25">
      <c r="A642" s="12">
        <f>_xlfn.AGGREGATE(3,3,$B$9:B642)</f>
        <v>585</v>
      </c>
      <c r="B642" s="12">
        <v>247060104</v>
      </c>
      <c r="C642" s="12" t="s">
        <v>668</v>
      </c>
      <c r="D642" s="12" t="s">
        <v>669</v>
      </c>
      <c r="E642" s="13"/>
      <c r="F642" s="13"/>
      <c r="G642" s="14"/>
      <c r="H642" s="15" t="s">
        <v>654</v>
      </c>
    </row>
    <row r="643" ht="15.75" customHeight="1" spans="1:16" x14ac:dyDescent="0.25">
      <c r="A643" s="12">
        <f>_xlfn.AGGREGATE(3,3,$B$9:B643)</f>
        <v>586</v>
      </c>
      <c r="B643" s="12">
        <v>247060105</v>
      </c>
      <c r="C643" s="12" t="s">
        <v>476</v>
      </c>
      <c r="D643" s="12" t="s">
        <v>84</v>
      </c>
      <c r="E643" s="13"/>
      <c r="F643" s="13"/>
      <c r="G643" s="14"/>
      <c r="H643" s="15" t="s">
        <v>654</v>
      </c>
    </row>
    <row r="644" ht="15.75" customHeight="1" spans="1:16" x14ac:dyDescent="0.25">
      <c r="A644" s="12">
        <f>_xlfn.AGGREGATE(3,3,$B$9:B644)</f>
        <v>587</v>
      </c>
      <c r="B644" s="12">
        <v>247060106</v>
      </c>
      <c r="C644" s="12" t="s">
        <v>670</v>
      </c>
      <c r="D644" s="12" t="s">
        <v>28</v>
      </c>
      <c r="E644" s="13"/>
      <c r="F644" s="13"/>
      <c r="G644" s="14" t="str">
        <f>$G$533</f>
        <v>Trừ 10 điểm chưa CNTTSV</v>
      </c>
      <c r="H644" s="15" t="s">
        <v>654</v>
      </c>
    </row>
    <row r="645" ht="15.75" customHeight="1" spans="1:16" x14ac:dyDescent="0.25">
      <c r="A645" s="12">
        <f>_xlfn.AGGREGATE(3,3,$B$9:B645)</f>
        <v>588</v>
      </c>
      <c r="B645" s="12">
        <v>247060107</v>
      </c>
      <c r="C645" s="12" t="s">
        <v>671</v>
      </c>
      <c r="D645" s="12" t="s">
        <v>672</v>
      </c>
      <c r="E645" s="13"/>
      <c r="F645" s="13"/>
      <c r="G645" s="14"/>
      <c r="H645" s="15" t="s">
        <v>654</v>
      </c>
    </row>
    <row r="646" ht="15.75" customHeight="1" spans="1:16" x14ac:dyDescent="0.25">
      <c r="A646" s="12">
        <f>_xlfn.AGGREGATE(3,3,$B$9:B646)</f>
        <v>589</v>
      </c>
      <c r="B646" s="12">
        <v>247060108</v>
      </c>
      <c r="C646" s="12" t="s">
        <v>23</v>
      </c>
      <c r="D646" s="12" t="s">
        <v>158</v>
      </c>
      <c r="E646" s="13"/>
      <c r="F646" s="13"/>
      <c r="G646" s="14"/>
      <c r="H646" s="15" t="s">
        <v>654</v>
      </c>
    </row>
    <row r="647" ht="15.75" customHeight="1" spans="1:16" x14ac:dyDescent="0.25">
      <c r="A647" s="12">
        <f>_xlfn.AGGREGATE(3,3,$B$9:B647)</f>
        <v>590</v>
      </c>
      <c r="B647" s="12">
        <v>247060109</v>
      </c>
      <c r="C647" s="12" t="s">
        <v>562</v>
      </c>
      <c r="D647" s="12" t="s">
        <v>387</v>
      </c>
      <c r="E647" s="13"/>
      <c r="F647" s="13"/>
      <c r="G647" s="14"/>
      <c r="H647" s="15" t="s">
        <v>654</v>
      </c>
    </row>
    <row r="648" ht="15.75" customHeight="1" spans="1:16" x14ac:dyDescent="0.25">
      <c r="A648" s="12">
        <f>_xlfn.AGGREGATE(3,3,$B$9:B648)</f>
        <v>591</v>
      </c>
      <c r="B648" s="12">
        <v>247060111</v>
      </c>
      <c r="C648" s="12" t="s">
        <v>277</v>
      </c>
      <c r="D648" s="12" t="s">
        <v>673</v>
      </c>
      <c r="E648" s="13"/>
      <c r="F648" s="13"/>
      <c r="G648" s="14"/>
      <c r="H648" s="15" t="s">
        <v>654</v>
      </c>
    </row>
    <row r="649" ht="15.75" customHeight="1" spans="1:16" x14ac:dyDescent="0.25">
      <c r="A649" s="12">
        <f>_xlfn.AGGREGATE(3,3,$B$9:B649)</f>
        <v>592</v>
      </c>
      <c r="B649" s="12">
        <v>247060112</v>
      </c>
      <c r="C649" s="12" t="s">
        <v>674</v>
      </c>
      <c r="D649" s="12" t="s">
        <v>409</v>
      </c>
      <c r="E649" s="17"/>
      <c r="F649" s="13"/>
      <c r="G649" s="14"/>
      <c r="H649" s="22" t="s">
        <v>654</v>
      </c>
    </row>
    <row r="650" ht="15.75" customHeight="1" spans="1:16" x14ac:dyDescent="0.25">
      <c r="A650" s="12">
        <f>_xlfn.AGGREGATE(3,3,$B$9:B650)</f>
        <v>593</v>
      </c>
      <c r="B650" s="12">
        <v>247060114</v>
      </c>
      <c r="C650" s="12" t="s">
        <v>449</v>
      </c>
      <c r="D650" s="12" t="s">
        <v>15</v>
      </c>
      <c r="E650" s="13"/>
      <c r="F650" s="13"/>
      <c r="G650" s="14"/>
      <c r="H650" s="15" t="s">
        <v>654</v>
      </c>
    </row>
    <row r="651" ht="15.75" customHeight="1" spans="1:16" x14ac:dyDescent="0.25">
      <c r="A651" s="12">
        <f>_xlfn.AGGREGATE(3,3,$B$9:B651)</f>
        <v>594</v>
      </c>
      <c r="B651" s="12">
        <v>247060115</v>
      </c>
      <c r="C651" s="12" t="s">
        <v>227</v>
      </c>
      <c r="D651" s="12" t="s">
        <v>387</v>
      </c>
      <c r="E651" s="13"/>
      <c r="F651" s="13"/>
      <c r="G651" s="14"/>
      <c r="H651" s="15" t="s">
        <v>654</v>
      </c>
    </row>
    <row r="652" ht="15.75" customHeight="1" spans="1:16" x14ac:dyDescent="0.25">
      <c r="A652" s="12">
        <f>_xlfn.AGGREGATE(3,3,$B$9:B652)</f>
        <v>595</v>
      </c>
      <c r="B652" s="12">
        <v>247060116</v>
      </c>
      <c r="C652" s="12" t="s">
        <v>675</v>
      </c>
      <c r="D652" s="12" t="s">
        <v>15</v>
      </c>
      <c r="E652" s="13"/>
      <c r="F652" s="13"/>
      <c r="G652" s="14" t="str">
        <f>$G$533</f>
        <v>Trừ 10 điểm chưa CNTTSV</v>
      </c>
      <c r="H652" s="15" t="s">
        <v>654</v>
      </c>
    </row>
    <row r="653" ht="15.75" customHeight="1" spans="1:16" x14ac:dyDescent="0.25">
      <c r="A653" s="12">
        <f>_xlfn.AGGREGATE(3,3,$B$9:B653)</f>
        <v>596</v>
      </c>
      <c r="B653" s="12">
        <v>247060117</v>
      </c>
      <c r="C653" s="12" t="s">
        <v>510</v>
      </c>
      <c r="D653" s="12" t="s">
        <v>109</v>
      </c>
      <c r="E653" s="13"/>
      <c r="F653" s="13"/>
      <c r="G653" s="14"/>
      <c r="H653" s="15" t="s">
        <v>654</v>
      </c>
    </row>
    <row r="654" ht="15.75" customHeight="1" spans="1:16" x14ac:dyDescent="0.25">
      <c r="A654" s="12">
        <f>_xlfn.AGGREGATE(3,3,$B$9:B654)</f>
        <v>597</v>
      </c>
      <c r="B654" s="12">
        <v>247060118</v>
      </c>
      <c r="C654" s="12" t="s">
        <v>676</v>
      </c>
      <c r="D654" s="12" t="s">
        <v>677</v>
      </c>
      <c r="E654" s="13"/>
      <c r="F654" s="13"/>
      <c r="G654" s="14"/>
      <c r="H654" s="15" t="s">
        <v>654</v>
      </c>
    </row>
    <row r="655" ht="15.75" customHeight="1" spans="1:16" x14ac:dyDescent="0.25">
      <c r="A655" s="12">
        <f>_xlfn.AGGREGATE(3,3,$B$9:B655)</f>
        <v>598</v>
      </c>
      <c r="B655" s="12">
        <v>247060119</v>
      </c>
      <c r="C655" s="12" t="s">
        <v>133</v>
      </c>
      <c r="D655" s="12" t="s">
        <v>200</v>
      </c>
      <c r="E655" s="13"/>
      <c r="F655" s="13"/>
      <c r="G655" s="14"/>
      <c r="H655" s="15" t="s">
        <v>654</v>
      </c>
    </row>
    <row r="656" ht="15.75" customHeight="1" spans="1:16" x14ac:dyDescent="0.25">
      <c r="A656" s="12">
        <f>_xlfn.AGGREGATE(3,3,$B$9:B656)</f>
        <v>599</v>
      </c>
      <c r="B656" s="12">
        <v>247060120</v>
      </c>
      <c r="C656" s="12" t="s">
        <v>44</v>
      </c>
      <c r="D656" s="12" t="s">
        <v>334</v>
      </c>
      <c r="E656" s="13"/>
      <c r="F656" s="13"/>
      <c r="G656" s="14"/>
      <c r="H656" s="15" t="s">
        <v>654</v>
      </c>
    </row>
    <row r="657" ht="15.75" customHeight="1" spans="1:16" x14ac:dyDescent="0.25">
      <c r="A657" s="12">
        <f>_xlfn.AGGREGATE(3,3,$B$9:B657)</f>
        <v>600</v>
      </c>
      <c r="B657" s="12">
        <v>247060121</v>
      </c>
      <c r="C657" s="12" t="s">
        <v>678</v>
      </c>
      <c r="D657" s="12" t="s">
        <v>357</v>
      </c>
      <c r="E657" s="13"/>
      <c r="F657" s="13"/>
      <c r="G657" s="14"/>
      <c r="H657" s="15" t="s">
        <v>654</v>
      </c>
    </row>
    <row r="658" ht="15.75" customHeight="1" spans="1:16" x14ac:dyDescent="0.25">
      <c r="A658" s="12">
        <f>_xlfn.AGGREGATE(3,3,$B$9:B658)</f>
        <v>601</v>
      </c>
      <c r="B658" s="12">
        <v>247060123</v>
      </c>
      <c r="C658" s="12" t="s">
        <v>27</v>
      </c>
      <c r="D658" s="12" t="s">
        <v>378</v>
      </c>
      <c r="E658" s="13"/>
      <c r="F658" s="13"/>
      <c r="G658" s="14"/>
      <c r="H658" s="15" t="s">
        <v>654</v>
      </c>
    </row>
    <row r="659" ht="15.75" customHeight="1" spans="1:16" x14ac:dyDescent="0.25">
      <c r="A659" s="12">
        <f>_xlfn.AGGREGATE(3,3,$B$9:B659)</f>
        <v>602</v>
      </c>
      <c r="B659" s="12">
        <v>247060124</v>
      </c>
      <c r="C659" s="12" t="s">
        <v>49</v>
      </c>
      <c r="D659" s="12" t="s">
        <v>407</v>
      </c>
      <c r="E659" s="17"/>
      <c r="F659" s="13"/>
      <c r="G659" s="14"/>
      <c r="H659" s="22" t="s">
        <v>654</v>
      </c>
    </row>
    <row r="660" ht="15.75" customHeight="1" spans="1:16" x14ac:dyDescent="0.25">
      <c r="A660" s="12">
        <f>_xlfn.AGGREGATE(3,3,$B$9:B660)</f>
        <v>603</v>
      </c>
      <c r="B660" s="12">
        <v>247060125</v>
      </c>
      <c r="C660" s="12" t="s">
        <v>679</v>
      </c>
      <c r="D660" s="12" t="s">
        <v>126</v>
      </c>
      <c r="E660" s="13"/>
      <c r="F660" s="13"/>
      <c r="G660" s="14"/>
      <c r="H660" s="15" t="s">
        <v>654</v>
      </c>
    </row>
    <row r="661" ht="15.75" customHeight="1" spans="1:16" x14ac:dyDescent="0.25">
      <c r="A661" s="12">
        <f>_xlfn.AGGREGATE(3,3,$B$9:B661)</f>
        <v>604</v>
      </c>
      <c r="B661" s="12">
        <v>247060126</v>
      </c>
      <c r="C661" s="12" t="s">
        <v>680</v>
      </c>
      <c r="D661" s="12" t="s">
        <v>681</v>
      </c>
      <c r="E661" s="13"/>
      <c r="F661" s="13"/>
      <c r="G661" s="14" t="str">
        <f>$G$533</f>
        <v>Trừ 10 điểm chưa CNTTSV</v>
      </c>
      <c r="H661" s="15" t="s">
        <v>654</v>
      </c>
    </row>
    <row r="662" ht="15.75" customHeight="1" spans="1:16" x14ac:dyDescent="0.25">
      <c r="A662" s="12">
        <f>_xlfn.AGGREGATE(3,3,$B$9:B662)</f>
        <v>605</v>
      </c>
      <c r="B662" s="12">
        <v>247060127</v>
      </c>
      <c r="C662" s="12" t="s">
        <v>682</v>
      </c>
      <c r="D662" s="12" t="s">
        <v>64</v>
      </c>
      <c r="E662" s="13"/>
      <c r="F662" s="13"/>
      <c r="G662" s="14"/>
      <c r="H662" s="15" t="s">
        <v>654</v>
      </c>
    </row>
    <row r="663" ht="15.75" customHeight="1" spans="1:16" x14ac:dyDescent="0.25">
      <c r="A663" s="12">
        <f>_xlfn.AGGREGATE(3,3,$B$9:B663)</f>
        <v>606</v>
      </c>
      <c r="B663" s="12">
        <v>247060128</v>
      </c>
      <c r="C663" s="12" t="s">
        <v>424</v>
      </c>
      <c r="D663" s="12" t="s">
        <v>387</v>
      </c>
      <c r="E663" s="13"/>
      <c r="F663" s="13"/>
      <c r="G663" s="14"/>
      <c r="H663" s="15" t="s">
        <v>654</v>
      </c>
    </row>
    <row r="664" ht="15.75" customHeight="1" spans="1:16" x14ac:dyDescent="0.25">
      <c r="A664" s="12">
        <f>_xlfn.AGGREGATE(3,3,$B$9:B664)</f>
        <v>607</v>
      </c>
      <c r="B664" s="12">
        <v>247060129</v>
      </c>
      <c r="C664" s="12" t="s">
        <v>79</v>
      </c>
      <c r="D664" s="12" t="s">
        <v>204</v>
      </c>
      <c r="E664" s="13"/>
      <c r="F664" s="13"/>
      <c r="G664" s="14"/>
      <c r="H664" s="15" t="s">
        <v>654</v>
      </c>
    </row>
    <row r="665" ht="15.75" customHeight="1" spans="1:16" x14ac:dyDescent="0.25">
      <c r="A665" s="12">
        <f>_xlfn.AGGREGATE(3,3,$B$9:B665)</f>
        <v>608</v>
      </c>
      <c r="B665" s="12">
        <v>247060130</v>
      </c>
      <c r="C665" s="12" t="s">
        <v>683</v>
      </c>
      <c r="D665" s="12" t="s">
        <v>40</v>
      </c>
      <c r="E665" s="13"/>
      <c r="F665" s="13"/>
      <c r="G665" s="14" t="str">
        <f>$G$533</f>
        <v>Trừ 10 điểm chưa CNTTSV</v>
      </c>
      <c r="H665" s="22" t="s">
        <v>654</v>
      </c>
    </row>
    <row r="666" ht="15.75" customHeight="1" spans="1:16" x14ac:dyDescent="0.25">
      <c r="A666" s="12">
        <f>_xlfn.AGGREGATE(3,3,$B$9:B666)</f>
        <v>609</v>
      </c>
      <c r="B666" s="12">
        <v>247060131</v>
      </c>
      <c r="C666" s="12" t="s">
        <v>420</v>
      </c>
      <c r="D666" s="12" t="s">
        <v>261</v>
      </c>
      <c r="E666" s="13"/>
      <c r="F666" s="13"/>
      <c r="G666" s="14"/>
      <c r="H666" s="15" t="s">
        <v>654</v>
      </c>
    </row>
    <row r="667" ht="15.75" customHeight="1" spans="1:16" x14ac:dyDescent="0.25">
      <c r="A667" s="12">
        <f>_xlfn.AGGREGATE(3,3,$B$9:B667)</f>
        <v>610</v>
      </c>
      <c r="B667" s="12">
        <v>217070001</v>
      </c>
      <c r="C667" s="12" t="s">
        <v>684</v>
      </c>
      <c r="D667" s="12" t="s">
        <v>15</v>
      </c>
      <c r="E667" s="13"/>
      <c r="F667" s="13"/>
      <c r="G667" s="14"/>
      <c r="H667" s="22" t="s">
        <v>685</v>
      </c>
    </row>
    <row r="668" ht="15.75" customHeight="1" spans="1:16" x14ac:dyDescent="0.25">
      <c r="A668" s="12">
        <f>_xlfn.AGGREGATE(3,3,$B$9:B668)</f>
        <v>611</v>
      </c>
      <c r="B668" s="12">
        <v>217070002</v>
      </c>
      <c r="C668" s="12" t="s">
        <v>686</v>
      </c>
      <c r="D668" s="12" t="s">
        <v>261</v>
      </c>
      <c r="E668" s="13"/>
      <c r="F668" s="13"/>
      <c r="G668" s="14">
        <f>$G$17</f>
        <v>0</v>
      </c>
      <c r="H668" s="22" t="s">
        <v>685</v>
      </c>
    </row>
    <row r="669" ht="15.75" customHeight="1" spans="1:16" x14ac:dyDescent="0.25">
      <c r="A669" s="12">
        <f>_xlfn.AGGREGATE(3,3,$B$9:B669)</f>
        <v>612</v>
      </c>
      <c r="B669" s="12">
        <v>217070003</v>
      </c>
      <c r="C669" s="12" t="s">
        <v>228</v>
      </c>
      <c r="D669" s="12" t="s">
        <v>58</v>
      </c>
      <c r="E669" s="13"/>
      <c r="F669" s="13"/>
      <c r="G669" s="14"/>
      <c r="H669" s="22" t="s">
        <v>685</v>
      </c>
    </row>
    <row r="670" ht="15.75" customHeight="1" spans="1:16" x14ac:dyDescent="0.25">
      <c r="A670" s="12">
        <f>_xlfn.AGGREGATE(3,3,$B$9:B670)</f>
        <v>613</v>
      </c>
      <c r="B670" s="12">
        <v>217070004</v>
      </c>
      <c r="C670" s="12" t="s">
        <v>252</v>
      </c>
      <c r="D670" s="12" t="s">
        <v>107</v>
      </c>
      <c r="E670" s="13"/>
      <c r="F670" s="13"/>
      <c r="G670" s="14"/>
      <c r="H670" s="22" t="s">
        <v>685</v>
      </c>
    </row>
    <row r="671" ht="15.75" customHeight="1" spans="1:16" x14ac:dyDescent="0.25">
      <c r="A671" s="12">
        <f>_xlfn.AGGREGATE(3,3,$B$9:B671)</f>
        <v>614</v>
      </c>
      <c r="B671" s="12">
        <v>217070005</v>
      </c>
      <c r="C671" s="12" t="s">
        <v>687</v>
      </c>
      <c r="D671" s="12" t="s">
        <v>419</v>
      </c>
      <c r="E671" s="13"/>
      <c r="F671" s="13"/>
      <c r="G671" s="14"/>
      <c r="H671" s="22" t="s">
        <v>685</v>
      </c>
    </row>
    <row r="672" ht="15.75" customHeight="1" spans="1:16" x14ac:dyDescent="0.25">
      <c r="A672" s="12">
        <f>_xlfn.AGGREGATE(3,3,$B$9:B672)</f>
        <v>615</v>
      </c>
      <c r="B672" s="12">
        <v>217070007</v>
      </c>
      <c r="C672" s="12" t="s">
        <v>688</v>
      </c>
      <c r="D672" s="12" t="s">
        <v>92</v>
      </c>
      <c r="E672" s="13"/>
      <c r="F672" s="13"/>
      <c r="G672" s="14"/>
      <c r="H672" s="22" t="s">
        <v>685</v>
      </c>
    </row>
    <row r="673" ht="15.75" customHeight="1" spans="1:16" x14ac:dyDescent="0.25">
      <c r="A673" s="12">
        <f>_xlfn.AGGREGATE(3,3,$B$9:B673)</f>
        <v>616</v>
      </c>
      <c r="B673" s="12">
        <v>217070009</v>
      </c>
      <c r="C673" s="12" t="s">
        <v>689</v>
      </c>
      <c r="D673" s="12" t="s">
        <v>158</v>
      </c>
      <c r="E673" s="13"/>
      <c r="F673" s="13"/>
      <c r="G673" s="14"/>
      <c r="H673" s="22" t="s">
        <v>685</v>
      </c>
    </row>
    <row r="674" ht="15.75" customHeight="1" spans="1:16" x14ac:dyDescent="0.25">
      <c r="A674" s="12">
        <f>_xlfn.AGGREGATE(3,3,$B$9:B674)</f>
        <v>617</v>
      </c>
      <c r="B674" s="12">
        <v>217070010</v>
      </c>
      <c r="C674" s="12" t="s">
        <v>690</v>
      </c>
      <c r="D674" s="12" t="s">
        <v>673</v>
      </c>
      <c r="E674" s="13"/>
      <c r="F674" s="13"/>
      <c r="G674" s="14"/>
      <c r="H674" s="22" t="s">
        <v>685</v>
      </c>
    </row>
    <row r="675" ht="15.75" customHeight="1" spans="1:16" x14ac:dyDescent="0.25">
      <c r="A675" s="12">
        <f>_xlfn.AGGREGATE(3,3,$B$9:B675)</f>
        <v>618</v>
      </c>
      <c r="B675" s="18">
        <v>217070011</v>
      </c>
      <c r="C675" s="18" t="s">
        <v>691</v>
      </c>
      <c r="D675" s="18" t="s">
        <v>692</v>
      </c>
      <c r="E675" s="19"/>
      <c r="F675" s="13"/>
      <c r="G675" s="20"/>
      <c r="H675" s="23" t="s">
        <v>685</v>
      </c>
    </row>
    <row r="676" ht="15.75" customHeight="1" spans="1:16" x14ac:dyDescent="0.25">
      <c r="A676" s="12">
        <f>_xlfn.AGGREGATE(3,3,$B$9:B676)</f>
        <v>619</v>
      </c>
      <c r="B676" s="12">
        <v>217070012</v>
      </c>
      <c r="C676" s="12" t="s">
        <v>693</v>
      </c>
      <c r="D676" s="12" t="s">
        <v>64</v>
      </c>
      <c r="E676" s="13"/>
      <c r="F676" s="13"/>
      <c r="G676" s="14"/>
      <c r="H676" s="22" t="s">
        <v>685</v>
      </c>
    </row>
    <row r="677" ht="15.75" customHeight="1" spans="1:16" x14ac:dyDescent="0.25">
      <c r="A677" s="12">
        <f>_xlfn.AGGREGATE(3,3,$B$9:B677)</f>
        <v>620</v>
      </c>
      <c r="B677" s="12">
        <v>217070013</v>
      </c>
      <c r="C677" s="12" t="s">
        <v>579</v>
      </c>
      <c r="D677" s="12" t="s">
        <v>84</v>
      </c>
      <c r="E677" s="13"/>
      <c r="F677" s="13"/>
      <c r="G677" s="14"/>
      <c r="H677" s="22" t="s">
        <v>685</v>
      </c>
    </row>
    <row r="678" ht="15.75" customHeight="1" spans="1:16" x14ac:dyDescent="0.25">
      <c r="A678" s="12">
        <f>_xlfn.AGGREGATE(3,3,$B$9:B678)</f>
        <v>621</v>
      </c>
      <c r="B678" s="12">
        <v>217070014</v>
      </c>
      <c r="C678" s="12" t="s">
        <v>694</v>
      </c>
      <c r="D678" s="12" t="s">
        <v>15</v>
      </c>
      <c r="E678" s="13"/>
      <c r="F678" s="13"/>
      <c r="G678" s="14">
        <f>$G$17</f>
        <v>0</v>
      </c>
      <c r="H678" s="22" t="s">
        <v>685</v>
      </c>
    </row>
    <row r="679" ht="15.75" customHeight="1" spans="1:16" x14ac:dyDescent="0.25">
      <c r="A679" s="12">
        <f>_xlfn.AGGREGATE(3,3,$B$9:B679)</f>
        <v>622</v>
      </c>
      <c r="B679" s="18">
        <v>217070017</v>
      </c>
      <c r="C679" s="18" t="s">
        <v>228</v>
      </c>
      <c r="D679" s="18" t="s">
        <v>58</v>
      </c>
      <c r="E679" s="13"/>
      <c r="F679" s="13"/>
      <c r="G679" s="20">
        <f>$G$685</f>
        <v>0</v>
      </c>
      <c r="H679" s="23" t="s">
        <v>685</v>
      </c>
    </row>
    <row r="680" ht="15.75" customHeight="1" spans="1:16" x14ac:dyDescent="0.25">
      <c r="A680" s="12">
        <f>_xlfn.AGGREGATE(3,3,$B$9:B680)</f>
        <v>623</v>
      </c>
      <c r="B680" s="12">
        <v>217070018</v>
      </c>
      <c r="C680" s="12" t="s">
        <v>49</v>
      </c>
      <c r="D680" s="12" t="s">
        <v>158</v>
      </c>
      <c r="E680" s="13"/>
      <c r="F680" s="13"/>
      <c r="G680" s="14"/>
      <c r="H680" s="22" t="s">
        <v>685</v>
      </c>
    </row>
    <row r="681" ht="15.75" customHeight="1" spans="1:16" x14ac:dyDescent="0.25">
      <c r="A681" s="12">
        <f>_xlfn.AGGREGATE(3,3,$B$9:B681)</f>
        <v>624</v>
      </c>
      <c r="B681" s="12">
        <v>217070019</v>
      </c>
      <c r="C681" s="12" t="s">
        <v>695</v>
      </c>
      <c r="D681" s="12" t="s">
        <v>86</v>
      </c>
      <c r="E681" s="13"/>
      <c r="F681" s="13"/>
      <c r="G681" s="14"/>
      <c r="H681" s="22" t="s">
        <v>685</v>
      </c>
    </row>
    <row r="682" ht="15.75" customHeight="1" spans="1:16" x14ac:dyDescent="0.25">
      <c r="A682" s="12">
        <f>_xlfn.AGGREGATE(3,3,$B$9:B682)</f>
        <v>625</v>
      </c>
      <c r="B682" s="12">
        <v>217070020</v>
      </c>
      <c r="C682" s="12" t="s">
        <v>696</v>
      </c>
      <c r="D682" s="12" t="s">
        <v>697</v>
      </c>
      <c r="E682" s="13"/>
      <c r="F682" s="13"/>
      <c r="G682" s="14">
        <f>$G$685</f>
        <v>0</v>
      </c>
      <c r="H682" s="22" t="s">
        <v>685</v>
      </c>
    </row>
    <row r="683" ht="15.75" customHeight="1" spans="1:16" x14ac:dyDescent="0.25">
      <c r="A683" s="12">
        <f>_xlfn.AGGREGATE(3,3,$B$9:B683)</f>
        <v>626</v>
      </c>
      <c r="B683" s="12">
        <v>217070021</v>
      </c>
      <c r="C683" s="12" t="s">
        <v>698</v>
      </c>
      <c r="D683" s="12" t="s">
        <v>357</v>
      </c>
      <c r="E683" s="13"/>
      <c r="F683" s="13"/>
      <c r="G683" s="14">
        <f>$G$17</f>
        <v>0</v>
      </c>
      <c r="H683" s="15" t="s">
        <v>685</v>
      </c>
    </row>
    <row r="684" ht="15.75" customHeight="1" spans="1:16" x14ac:dyDescent="0.25">
      <c r="A684" s="12">
        <f>_xlfn.AGGREGATE(3,3,$B$9:B684)</f>
        <v>627</v>
      </c>
      <c r="B684" s="12">
        <v>217070022</v>
      </c>
      <c r="C684" s="12" t="s">
        <v>699</v>
      </c>
      <c r="D684" s="12" t="s">
        <v>700</v>
      </c>
      <c r="E684" s="13"/>
      <c r="F684" s="13"/>
      <c r="G684" s="14"/>
      <c r="H684" s="22" t="s">
        <v>685</v>
      </c>
    </row>
    <row r="685" ht="15.75" customHeight="1" spans="1:16" x14ac:dyDescent="0.25">
      <c r="A685" s="12">
        <f>_xlfn.AGGREGATE(3,3,$B$9:B685)</f>
        <v>628</v>
      </c>
      <c r="B685" s="12">
        <v>217070023</v>
      </c>
      <c r="C685" s="12" t="s">
        <v>701</v>
      </c>
      <c r="D685" s="12" t="s">
        <v>702</v>
      </c>
      <c r="E685" s="13"/>
      <c r="F685" s="13"/>
      <c r="G685" s="14">
        <f>$G$17</f>
        <v>0</v>
      </c>
      <c r="H685" s="22" t="s">
        <v>685</v>
      </c>
    </row>
    <row r="686" ht="15.75" customHeight="1" spans="1:16" x14ac:dyDescent="0.25">
      <c r="A686" s="12">
        <f>_xlfn.AGGREGATE(3,3,$B$9:B686)</f>
        <v>629</v>
      </c>
      <c r="B686" s="12">
        <v>217070025</v>
      </c>
      <c r="C686" s="12" t="s">
        <v>324</v>
      </c>
      <c r="D686" s="12" t="s">
        <v>165</v>
      </c>
      <c r="E686" s="13"/>
      <c r="F686" s="13"/>
      <c r="G686" s="14"/>
      <c r="H686" s="22" t="s">
        <v>685</v>
      </c>
    </row>
    <row r="687" ht="15.75" customHeight="1" spans="1:16" x14ac:dyDescent="0.25">
      <c r="A687" s="12">
        <f>_xlfn.AGGREGATE(3,3,$B$9:B687)</f>
        <v>630</v>
      </c>
      <c r="B687" s="12">
        <v>217070026</v>
      </c>
      <c r="C687" s="12" t="s">
        <v>542</v>
      </c>
      <c r="D687" s="12" t="s">
        <v>72</v>
      </c>
      <c r="E687" s="13"/>
      <c r="F687" s="13"/>
      <c r="G687" s="14">
        <f>$G$685</f>
        <v>0</v>
      </c>
      <c r="H687" s="22" t="s">
        <v>685</v>
      </c>
    </row>
    <row r="688" ht="15.75" customHeight="1" spans="1:16" x14ac:dyDescent="0.25">
      <c r="A688" s="12">
        <f>_xlfn.AGGREGATE(3,3,$B$9:B688)</f>
        <v>631</v>
      </c>
      <c r="B688" s="12">
        <v>217070028</v>
      </c>
      <c r="C688" s="12" t="s">
        <v>412</v>
      </c>
      <c r="D688" s="12" t="s">
        <v>626</v>
      </c>
      <c r="E688" s="13"/>
      <c r="F688" s="13"/>
      <c r="G688" s="14">
        <f>$G$685</f>
        <v>0</v>
      </c>
      <c r="H688" s="22" t="s">
        <v>685</v>
      </c>
    </row>
    <row r="689" ht="15.75" customHeight="1" spans="1:16" x14ac:dyDescent="0.25">
      <c r="A689" s="12">
        <f>_xlfn.AGGREGATE(3,3,$B$9:B689)</f>
        <v>632</v>
      </c>
      <c r="B689" s="12">
        <v>217070029</v>
      </c>
      <c r="C689" s="12" t="s">
        <v>703</v>
      </c>
      <c r="D689" s="12" t="s">
        <v>482</v>
      </c>
      <c r="E689" s="13"/>
      <c r="F689" s="13"/>
      <c r="G689" s="14">
        <f>$G$17</f>
        <v>0</v>
      </c>
      <c r="H689" s="22" t="s">
        <v>685</v>
      </c>
    </row>
    <row r="690" ht="15.75" customHeight="1" spans="1:16" x14ac:dyDescent="0.25">
      <c r="A690" s="12">
        <f>_xlfn.AGGREGATE(3,3,$B$9:B690)</f>
        <v>633</v>
      </c>
      <c r="B690" s="12">
        <v>217070030</v>
      </c>
      <c r="C690" s="12" t="s">
        <v>228</v>
      </c>
      <c r="D690" s="12" t="s">
        <v>107</v>
      </c>
      <c r="E690" s="13"/>
      <c r="F690" s="13"/>
      <c r="G690" s="14">
        <f>$G$685</f>
        <v>0</v>
      </c>
      <c r="H690" s="22" t="s">
        <v>685</v>
      </c>
    </row>
    <row r="691" ht="15.75" customHeight="1" spans="1:16" x14ac:dyDescent="0.25">
      <c r="A691" s="12">
        <f>_xlfn.AGGREGATE(3,3,$B$9:B691)</f>
        <v>634</v>
      </c>
      <c r="B691" s="12">
        <v>217070031</v>
      </c>
      <c r="C691" s="12" t="s">
        <v>704</v>
      </c>
      <c r="D691" s="12" t="s">
        <v>387</v>
      </c>
      <c r="E691" s="13"/>
      <c r="F691" s="13"/>
      <c r="G691" s="14"/>
      <c r="H691" s="22" t="s">
        <v>685</v>
      </c>
    </row>
    <row r="692" ht="15.75" customHeight="1" spans="1:16" x14ac:dyDescent="0.25">
      <c r="A692" s="12">
        <f>_xlfn.AGGREGATE(3,3,$B$9:B692)</f>
        <v>635</v>
      </c>
      <c r="B692" s="12">
        <v>217070032</v>
      </c>
      <c r="C692" s="12" t="s">
        <v>346</v>
      </c>
      <c r="D692" s="12" t="s">
        <v>705</v>
      </c>
      <c r="E692" s="13"/>
      <c r="F692" s="13"/>
      <c r="G692" s="14">
        <f>$G$685</f>
        <v>0</v>
      </c>
      <c r="H692" s="22" t="s">
        <v>685</v>
      </c>
    </row>
    <row r="693" ht="15.75" customHeight="1" spans="1:16" x14ac:dyDescent="0.25">
      <c r="A693" s="12">
        <f>_xlfn.AGGREGATE(3,3,$B$9:B693)</f>
        <v>636</v>
      </c>
      <c r="B693" s="12">
        <v>217070033</v>
      </c>
      <c r="C693" s="12" t="s">
        <v>706</v>
      </c>
      <c r="D693" s="12" t="s">
        <v>161</v>
      </c>
      <c r="E693" s="13"/>
      <c r="F693" s="13"/>
      <c r="G693" s="14"/>
      <c r="H693" s="22" t="s">
        <v>685</v>
      </c>
    </row>
    <row r="694" ht="15.75" customHeight="1" spans="1:16" x14ac:dyDescent="0.25">
      <c r="A694" s="12">
        <f>_xlfn.AGGREGATE(3,3,$B$9:B694)</f>
        <v>637</v>
      </c>
      <c r="B694" s="18">
        <v>217070036</v>
      </c>
      <c r="C694" s="18" t="s">
        <v>305</v>
      </c>
      <c r="D694" s="18" t="s">
        <v>571</v>
      </c>
      <c r="E694" s="19"/>
      <c r="F694" s="13"/>
      <c r="G694" s="20"/>
      <c r="H694" s="21" t="s">
        <v>685</v>
      </c>
    </row>
    <row r="695" ht="15.75" customHeight="1" spans="1:16" x14ac:dyDescent="0.25">
      <c r="A695" s="12">
        <f>_xlfn.AGGREGATE(3,3,$B$9:B695)</f>
        <v>638</v>
      </c>
      <c r="B695" s="12">
        <v>217070037</v>
      </c>
      <c r="C695" s="12" t="s">
        <v>85</v>
      </c>
      <c r="D695" s="12" t="s">
        <v>707</v>
      </c>
      <c r="E695" s="13"/>
      <c r="F695" s="13"/>
      <c r="G695" s="14">
        <f>$G$17</f>
        <v>0</v>
      </c>
      <c r="H695" s="22" t="s">
        <v>685</v>
      </c>
    </row>
    <row r="696" ht="15.75" customHeight="1" spans="1:16" x14ac:dyDescent="0.25">
      <c r="A696" s="12">
        <f>_xlfn.AGGREGATE(3,3,$B$9:B696)</f>
        <v>639</v>
      </c>
      <c r="B696" s="18">
        <v>217070038</v>
      </c>
      <c r="C696" s="18" t="s">
        <v>277</v>
      </c>
      <c r="D696" s="18" t="s">
        <v>382</v>
      </c>
      <c r="E696" s="19"/>
      <c r="F696" s="13"/>
      <c r="G696" s="20">
        <f>$G$17</f>
        <v>0</v>
      </c>
      <c r="H696" s="23" t="s">
        <v>685</v>
      </c>
    </row>
    <row r="697" ht="15.75" customHeight="1" spans="1:16" x14ac:dyDescent="0.25">
      <c r="A697" s="12">
        <f>_xlfn.AGGREGATE(3,3,$B$9:B697)</f>
        <v>640</v>
      </c>
      <c r="B697" s="12">
        <v>217070039</v>
      </c>
      <c r="C697" s="12" t="s">
        <v>708</v>
      </c>
      <c r="D697" s="12" t="s">
        <v>394</v>
      </c>
      <c r="E697" s="13"/>
      <c r="F697" s="13"/>
      <c r="G697" s="14">
        <f>$G$17</f>
        <v>0</v>
      </c>
      <c r="H697" s="22" t="s">
        <v>685</v>
      </c>
    </row>
    <row r="698" ht="15.75" customHeight="1" spans="1:16" x14ac:dyDescent="0.25">
      <c r="A698" s="12">
        <f>_xlfn.AGGREGATE(3,3,$B$9:B698)</f>
        <v>641</v>
      </c>
      <c r="B698" s="12">
        <v>217070040</v>
      </c>
      <c r="C698" s="12" t="s">
        <v>709</v>
      </c>
      <c r="D698" s="12" t="s">
        <v>387</v>
      </c>
      <c r="E698" s="13"/>
      <c r="F698" s="13"/>
      <c r="G698" s="14">
        <f>$G$17</f>
        <v>0</v>
      </c>
      <c r="H698" s="22" t="s">
        <v>685</v>
      </c>
    </row>
    <row r="699" ht="15.75" customHeight="1" spans="1:16" x14ac:dyDescent="0.25">
      <c r="A699" s="12">
        <f>_xlfn.AGGREGATE(3,3,$B$9:B699)</f>
        <v>642</v>
      </c>
      <c r="B699" s="12">
        <v>217070041</v>
      </c>
      <c r="C699" s="12" t="s">
        <v>23</v>
      </c>
      <c r="D699" s="12" t="s">
        <v>165</v>
      </c>
      <c r="E699" s="13"/>
      <c r="F699" s="13"/>
      <c r="G699" s="14"/>
      <c r="H699" s="22" t="s">
        <v>685</v>
      </c>
    </row>
    <row r="700" ht="15.75" customHeight="1" spans="1:16" x14ac:dyDescent="0.25">
      <c r="A700" s="12">
        <f>_xlfn.AGGREGATE(3,3,$B$9:B700)</f>
        <v>643</v>
      </c>
      <c r="B700" s="12">
        <v>217070042</v>
      </c>
      <c r="C700" s="12" t="s">
        <v>23</v>
      </c>
      <c r="D700" s="12" t="s">
        <v>165</v>
      </c>
      <c r="E700" s="13"/>
      <c r="F700" s="13"/>
      <c r="G700" s="14">
        <f>$G$685</f>
        <v>0</v>
      </c>
      <c r="H700" s="22" t="s">
        <v>685</v>
      </c>
    </row>
    <row r="701" ht="15.75" customHeight="1" spans="1:16" x14ac:dyDescent="0.25">
      <c r="A701" s="12">
        <f>_xlfn.AGGREGATE(3,3,$B$9:B701)</f>
        <v>644</v>
      </c>
      <c r="B701" s="12">
        <v>217070044</v>
      </c>
      <c r="C701" s="12" t="s">
        <v>27</v>
      </c>
      <c r="D701" s="12" t="s">
        <v>168</v>
      </c>
      <c r="E701" s="13"/>
      <c r="F701" s="13"/>
      <c r="G701" s="14">
        <f>$G$685</f>
        <v>0</v>
      </c>
      <c r="H701" s="22" t="s">
        <v>685</v>
      </c>
    </row>
    <row r="702" ht="15.75" customHeight="1" spans="1:16" x14ac:dyDescent="0.25">
      <c r="A702" s="12">
        <f>_xlfn.AGGREGATE(3,3,$B$9:B702)</f>
        <v>645</v>
      </c>
      <c r="B702" s="12">
        <v>217070045</v>
      </c>
      <c r="C702" s="12" t="s">
        <v>710</v>
      </c>
      <c r="D702" s="12" t="s">
        <v>711</v>
      </c>
      <c r="E702" s="13"/>
      <c r="F702" s="13"/>
      <c r="G702" s="14">
        <f>$G$17</f>
        <v>0</v>
      </c>
      <c r="H702" s="22" t="s">
        <v>685</v>
      </c>
    </row>
    <row r="703" ht="15.75" customHeight="1" spans="1:16" x14ac:dyDescent="0.25">
      <c r="A703" s="12">
        <f>_xlfn.AGGREGATE(3,3,$B$9:B703)</f>
        <v>646</v>
      </c>
      <c r="B703" s="12">
        <v>217070046</v>
      </c>
      <c r="C703" s="12" t="s">
        <v>642</v>
      </c>
      <c r="D703" s="12" t="s">
        <v>712</v>
      </c>
      <c r="E703" s="13"/>
      <c r="F703" s="13"/>
      <c r="G703" s="14"/>
      <c r="H703" s="22" t="s">
        <v>685</v>
      </c>
    </row>
    <row r="704" ht="15.75" customHeight="1" spans="1:16" x14ac:dyDescent="0.25">
      <c r="A704" s="12">
        <f>_xlfn.AGGREGATE(3,3,$B$9:B704)</f>
        <v>647</v>
      </c>
      <c r="B704" s="12">
        <v>217070047</v>
      </c>
      <c r="C704" s="12" t="s">
        <v>713</v>
      </c>
      <c r="D704" s="12" t="s">
        <v>66</v>
      </c>
      <c r="E704" s="13"/>
      <c r="F704" s="13"/>
      <c r="G704" s="14"/>
      <c r="H704" s="22" t="s">
        <v>685</v>
      </c>
    </row>
    <row r="705" ht="15.75" customHeight="1" spans="1:16" x14ac:dyDescent="0.25">
      <c r="A705" s="12">
        <f>_xlfn.AGGREGATE(3,3,$B$9:B705)</f>
        <v>648</v>
      </c>
      <c r="B705" s="12">
        <v>217070048</v>
      </c>
      <c r="C705" s="12" t="s">
        <v>254</v>
      </c>
      <c r="D705" s="12" t="s">
        <v>383</v>
      </c>
      <c r="E705" s="13"/>
      <c r="F705" s="13"/>
      <c r="G705" s="14">
        <f>$G$685</f>
        <v>0</v>
      </c>
      <c r="H705" s="22" t="s">
        <v>685</v>
      </c>
    </row>
    <row r="706" ht="15.75" customHeight="1" spans="1:16" x14ac:dyDescent="0.25">
      <c r="A706" s="12">
        <f>_xlfn.AGGREGATE(3,3,$B$9:B706)</f>
        <v>649</v>
      </c>
      <c r="B706" s="12">
        <v>217070049</v>
      </c>
      <c r="C706" s="12" t="s">
        <v>501</v>
      </c>
      <c r="D706" s="12" t="s">
        <v>196</v>
      </c>
      <c r="E706" s="13"/>
      <c r="F706" s="13"/>
      <c r="G706" s="14"/>
      <c r="H706" s="22" t="s">
        <v>685</v>
      </c>
    </row>
    <row r="707" ht="15.75" customHeight="1" spans="1:16" x14ac:dyDescent="0.25">
      <c r="A707" s="12">
        <f>_xlfn.AGGREGATE(3,3,$B$9:B707)</f>
        <v>650</v>
      </c>
      <c r="B707" s="18">
        <v>217070050</v>
      </c>
      <c r="C707" s="18" t="s">
        <v>579</v>
      </c>
      <c r="D707" s="18" t="s">
        <v>434</v>
      </c>
      <c r="E707" s="19"/>
      <c r="F707" s="13"/>
      <c r="G707" s="20"/>
      <c r="H707" s="23" t="s">
        <v>685</v>
      </c>
    </row>
    <row r="708" ht="15.75" customHeight="1" spans="1:16" x14ac:dyDescent="0.25">
      <c r="A708" s="12">
        <f>_xlfn.AGGREGATE(3,3,$B$9:B708)</f>
        <v>651</v>
      </c>
      <c r="B708" s="12">
        <v>217070051</v>
      </c>
      <c r="C708" s="12" t="s">
        <v>714</v>
      </c>
      <c r="D708" s="12" t="s">
        <v>546</v>
      </c>
      <c r="E708" s="13"/>
      <c r="F708" s="13"/>
      <c r="G708" s="14"/>
      <c r="H708" s="22" t="s">
        <v>685</v>
      </c>
    </row>
    <row r="709" ht="15.75" customHeight="1" spans="1:16" x14ac:dyDescent="0.25">
      <c r="A709" s="12">
        <f>_xlfn.AGGREGATE(3,3,$B$9:B709)</f>
        <v>652</v>
      </c>
      <c r="B709" s="12">
        <v>217070053</v>
      </c>
      <c r="C709" s="12" t="s">
        <v>715</v>
      </c>
      <c r="D709" s="12" t="s">
        <v>134</v>
      </c>
      <c r="E709" s="13"/>
      <c r="F709" s="13"/>
      <c r="G709" s="14">
        <f>$G$17</f>
        <v>0</v>
      </c>
      <c r="H709" s="22" t="s">
        <v>685</v>
      </c>
    </row>
    <row r="710" ht="15.75" customHeight="1" spans="1:16" x14ac:dyDescent="0.25">
      <c r="A710" s="12">
        <f>_xlfn.AGGREGATE(3,3,$B$9:B710)</f>
        <v>653</v>
      </c>
      <c r="B710" s="12">
        <v>217070056</v>
      </c>
      <c r="C710" s="12" t="s">
        <v>51</v>
      </c>
      <c r="D710" s="12" t="s">
        <v>382</v>
      </c>
      <c r="E710" s="13"/>
      <c r="F710" s="13"/>
      <c r="G710" s="14">
        <f>$G$17</f>
        <v>0</v>
      </c>
      <c r="H710" s="22" t="s">
        <v>685</v>
      </c>
    </row>
    <row r="711" ht="15.75" customHeight="1" spans="1:16" x14ac:dyDescent="0.25">
      <c r="A711" s="12">
        <f>_xlfn.AGGREGATE(3,3,$B$9:B711)</f>
        <v>654</v>
      </c>
      <c r="B711" s="12">
        <v>227070001</v>
      </c>
      <c r="C711" s="12" t="s">
        <v>142</v>
      </c>
      <c r="D711" s="12" t="s">
        <v>716</v>
      </c>
      <c r="E711" s="13"/>
      <c r="F711" s="13"/>
      <c r="G711" s="14"/>
      <c r="H711" s="22" t="s">
        <v>717</v>
      </c>
    </row>
    <row r="712" ht="15.75" customHeight="1" spans="1:16" x14ac:dyDescent="0.25">
      <c r="A712" s="12">
        <f>_xlfn.AGGREGATE(3,3,$B$9:B712)</f>
        <v>655</v>
      </c>
      <c r="B712" s="12">
        <v>227070002</v>
      </c>
      <c r="C712" s="12" t="s">
        <v>166</v>
      </c>
      <c r="D712" s="12" t="s">
        <v>38</v>
      </c>
      <c r="E712" s="13"/>
      <c r="F712" s="13"/>
      <c r="G712" s="14"/>
      <c r="H712" s="22" t="s">
        <v>717</v>
      </c>
    </row>
    <row r="713" ht="15.75" customHeight="1" spans="1:16" x14ac:dyDescent="0.25">
      <c r="A713" s="12">
        <f>_xlfn.AGGREGATE(3,3,$B$9:B713)</f>
        <v>656</v>
      </c>
      <c r="B713" s="12">
        <v>227070003</v>
      </c>
      <c r="C713" s="12" t="s">
        <v>718</v>
      </c>
      <c r="D713" s="12" t="s">
        <v>32</v>
      </c>
      <c r="E713" s="13"/>
      <c r="F713" s="13"/>
      <c r="G713" s="14"/>
      <c r="H713" s="22" t="s">
        <v>717</v>
      </c>
    </row>
    <row r="714" ht="15.75" customHeight="1" spans="1:16" x14ac:dyDescent="0.25">
      <c r="A714" s="12">
        <f>_xlfn.AGGREGATE(3,3,$B$9:B714)</f>
        <v>657</v>
      </c>
      <c r="B714" s="12">
        <v>227070004</v>
      </c>
      <c r="C714" s="12" t="s">
        <v>386</v>
      </c>
      <c r="D714" s="12" t="s">
        <v>196</v>
      </c>
      <c r="E714" s="13"/>
      <c r="F714" s="13"/>
      <c r="G714" s="14">
        <f>$G$79</f>
        <v>0</v>
      </c>
      <c r="H714" s="22" t="s">
        <v>717</v>
      </c>
    </row>
    <row r="715" ht="15.75" customHeight="1" spans="1:16" x14ac:dyDescent="0.25">
      <c r="A715" s="12">
        <f>_xlfn.AGGREGATE(3,3,$B$9:B715)</f>
        <v>658</v>
      </c>
      <c r="B715" s="12">
        <v>227070005</v>
      </c>
      <c r="C715" s="12" t="s">
        <v>719</v>
      </c>
      <c r="D715" s="12" t="s">
        <v>200</v>
      </c>
      <c r="E715" s="13"/>
      <c r="F715" s="13"/>
      <c r="G715" s="14"/>
      <c r="H715" s="22" t="s">
        <v>717</v>
      </c>
    </row>
    <row r="716" ht="15.75" customHeight="1" spans="1:16" x14ac:dyDescent="0.25">
      <c r="A716" s="12">
        <f>_xlfn.AGGREGATE(3,3,$B$9:B716)</f>
        <v>659</v>
      </c>
      <c r="B716" s="12">
        <v>227070006</v>
      </c>
      <c r="C716" s="12" t="s">
        <v>720</v>
      </c>
      <c r="D716" s="12" t="s">
        <v>721</v>
      </c>
      <c r="E716" s="13"/>
      <c r="F716" s="13"/>
      <c r="G716" s="14"/>
      <c r="H716" s="22" t="s">
        <v>717</v>
      </c>
    </row>
    <row r="717" ht="15.75" customHeight="1" spans="1:16" x14ac:dyDescent="0.25">
      <c r="A717" s="12">
        <f>_xlfn.AGGREGATE(3,3,$B$9:B717)</f>
        <v>660</v>
      </c>
      <c r="B717" s="18">
        <v>227070007</v>
      </c>
      <c r="C717" s="18" t="s">
        <v>722</v>
      </c>
      <c r="D717" s="18" t="s">
        <v>723</v>
      </c>
      <c r="E717" s="19"/>
      <c r="F717" s="13"/>
      <c r="G717" s="20"/>
      <c r="H717" s="23" t="s">
        <v>717</v>
      </c>
    </row>
    <row r="718" ht="15.75" customHeight="1" spans="1:16" x14ac:dyDescent="0.25">
      <c r="A718" s="12">
        <f>_xlfn.AGGREGATE(3,3,$B$9:B718)</f>
        <v>661</v>
      </c>
      <c r="B718" s="12">
        <v>227070008</v>
      </c>
      <c r="C718" s="12" t="s">
        <v>594</v>
      </c>
      <c r="D718" s="12" t="s">
        <v>70</v>
      </c>
      <c r="E718" s="13"/>
      <c r="F718" s="13"/>
      <c r="G718" s="14"/>
      <c r="H718" s="22" t="s">
        <v>717</v>
      </c>
    </row>
    <row r="719" ht="15.75" customHeight="1" spans="1:16" x14ac:dyDescent="0.25">
      <c r="A719" s="12">
        <f>_xlfn.AGGREGATE(3,3,$B$9:B719)</f>
        <v>662</v>
      </c>
      <c r="B719" s="12">
        <v>227070009</v>
      </c>
      <c r="C719" s="12" t="s">
        <v>306</v>
      </c>
      <c r="D719" s="12" t="s">
        <v>724</v>
      </c>
      <c r="E719" s="13"/>
      <c r="F719" s="13"/>
      <c r="G719" s="14"/>
      <c r="H719" s="22" t="s">
        <v>717</v>
      </c>
    </row>
    <row r="720" ht="15.75" customHeight="1" spans="1:16" x14ac:dyDescent="0.25">
      <c r="A720" s="12">
        <f>_xlfn.AGGREGATE(3,3,$B$9:B720)</f>
        <v>663</v>
      </c>
      <c r="B720" s="12">
        <v>227070010</v>
      </c>
      <c r="C720" s="12" t="s">
        <v>725</v>
      </c>
      <c r="D720" s="12" t="s">
        <v>90</v>
      </c>
      <c r="E720" s="13"/>
      <c r="F720" s="13"/>
      <c r="G720" s="14"/>
      <c r="H720" s="22" t="s">
        <v>717</v>
      </c>
    </row>
    <row r="721" ht="15.75" customHeight="1" spans="1:16" x14ac:dyDescent="0.25">
      <c r="A721" s="12">
        <f>_xlfn.AGGREGATE(3,3,$B$9:B721)</f>
        <v>664</v>
      </c>
      <c r="B721" s="18">
        <v>227070011</v>
      </c>
      <c r="C721" s="18" t="s">
        <v>127</v>
      </c>
      <c r="D721" s="18" t="s">
        <v>206</v>
      </c>
      <c r="E721" s="19"/>
      <c r="F721" s="13"/>
      <c r="G721" s="20"/>
      <c r="H721" s="23" t="s">
        <v>717</v>
      </c>
    </row>
    <row r="722" ht="15.75" customHeight="1" spans="1:16" x14ac:dyDescent="0.25">
      <c r="A722" s="12">
        <f>_xlfn.AGGREGATE(3,3,$B$9:B722)</f>
        <v>665</v>
      </c>
      <c r="B722" s="12">
        <v>227070012</v>
      </c>
      <c r="C722" s="12" t="s">
        <v>279</v>
      </c>
      <c r="D722" s="12" t="s">
        <v>64</v>
      </c>
      <c r="E722" s="13"/>
      <c r="F722" s="13"/>
      <c r="G722" s="14"/>
      <c r="H722" s="22" t="s">
        <v>717</v>
      </c>
    </row>
    <row r="723" ht="15.75" customHeight="1" spans="1:16" x14ac:dyDescent="0.25">
      <c r="A723" s="12">
        <f>_xlfn.AGGREGATE(3,3,$B$9:B723)</f>
        <v>666</v>
      </c>
      <c r="B723" s="12">
        <v>227070013</v>
      </c>
      <c r="C723" s="12" t="s">
        <v>726</v>
      </c>
      <c r="D723" s="12" t="s">
        <v>727</v>
      </c>
      <c r="E723" s="13"/>
      <c r="F723" s="13"/>
      <c r="G723" s="14">
        <f>$G$79</f>
        <v>0</v>
      </c>
      <c r="H723" s="22" t="s">
        <v>717</v>
      </c>
    </row>
    <row r="724" ht="15.75" customHeight="1" spans="1:16" x14ac:dyDescent="0.25">
      <c r="A724" s="12">
        <f>_xlfn.AGGREGATE(3,3,$B$9:B724)</f>
        <v>667</v>
      </c>
      <c r="B724" s="12">
        <v>227070014</v>
      </c>
      <c r="C724" s="12" t="s">
        <v>728</v>
      </c>
      <c r="D724" s="12" t="s">
        <v>729</v>
      </c>
      <c r="E724" s="13"/>
      <c r="F724" s="13"/>
      <c r="G724" s="14"/>
      <c r="H724" s="22" t="s">
        <v>717</v>
      </c>
    </row>
    <row r="725" ht="15.75" customHeight="1" spans="1:16" x14ac:dyDescent="0.25">
      <c r="A725" s="12">
        <f>_xlfn.AGGREGATE(3,3,$B$9:B725)</f>
        <v>668</v>
      </c>
      <c r="B725" s="12">
        <v>227070015</v>
      </c>
      <c r="C725" s="12" t="s">
        <v>730</v>
      </c>
      <c r="D725" s="12" t="s">
        <v>22</v>
      </c>
      <c r="E725" s="13"/>
      <c r="F725" s="13"/>
      <c r="G725" s="14"/>
      <c r="H725" s="22" t="s">
        <v>717</v>
      </c>
    </row>
    <row r="726" ht="15.75" customHeight="1" spans="1:16" x14ac:dyDescent="0.25">
      <c r="A726" s="12">
        <f>_xlfn.AGGREGATE(3,3,$B$9:B726)</f>
        <v>669</v>
      </c>
      <c r="B726" s="12">
        <v>227070016</v>
      </c>
      <c r="C726" s="12" t="s">
        <v>254</v>
      </c>
      <c r="D726" s="12" t="s">
        <v>261</v>
      </c>
      <c r="E726" s="13"/>
      <c r="F726" s="13"/>
      <c r="G726" s="14"/>
      <c r="H726" s="22" t="s">
        <v>717</v>
      </c>
    </row>
    <row r="727" ht="15.75" customHeight="1" spans="1:16" x14ac:dyDescent="0.25">
      <c r="A727" s="12">
        <f>_xlfn.AGGREGATE(3,3,$B$9:B727)</f>
        <v>670</v>
      </c>
      <c r="B727" s="12">
        <v>227070017</v>
      </c>
      <c r="C727" s="12" t="s">
        <v>337</v>
      </c>
      <c r="D727" s="12" t="s">
        <v>383</v>
      </c>
      <c r="E727" s="13"/>
      <c r="F727" s="13"/>
      <c r="G727" s="14"/>
      <c r="H727" s="22" t="s">
        <v>717</v>
      </c>
    </row>
    <row r="728" ht="15.75" customHeight="1" spans="1:16" x14ac:dyDescent="0.25">
      <c r="A728" s="12">
        <f>_xlfn.AGGREGATE(3,3,$B$9:B728)</f>
        <v>671</v>
      </c>
      <c r="B728" s="12">
        <v>227070019</v>
      </c>
      <c r="C728" s="12" t="s">
        <v>731</v>
      </c>
      <c r="D728" s="12" t="s">
        <v>32</v>
      </c>
      <c r="E728" s="13"/>
      <c r="F728" s="13"/>
      <c r="G728" s="14"/>
      <c r="H728" s="22" t="s">
        <v>717</v>
      </c>
    </row>
    <row r="729" ht="15.75" customHeight="1" spans="1:16" x14ac:dyDescent="0.25">
      <c r="A729" s="12">
        <f>_xlfn.AGGREGATE(3,3,$B$9:B729)</f>
        <v>672</v>
      </c>
      <c r="B729" s="18">
        <v>227070021</v>
      </c>
      <c r="C729" s="18" t="s">
        <v>49</v>
      </c>
      <c r="D729" s="18" t="s">
        <v>732</v>
      </c>
      <c r="E729" s="19"/>
      <c r="F729" s="13"/>
      <c r="G729" s="20"/>
      <c r="H729" s="23" t="s">
        <v>717</v>
      </c>
    </row>
    <row r="730" ht="15.75" customHeight="1" spans="1:16" x14ac:dyDescent="0.25">
      <c r="A730" s="12">
        <f>_xlfn.AGGREGATE(3,3,$B$9:B730)</f>
        <v>673</v>
      </c>
      <c r="B730" s="12">
        <v>227070022</v>
      </c>
      <c r="C730" s="12" t="s">
        <v>733</v>
      </c>
      <c r="D730" s="12" t="s">
        <v>72</v>
      </c>
      <c r="E730" s="13"/>
      <c r="F730" s="13"/>
      <c r="G730" s="14"/>
      <c r="H730" s="22" t="s">
        <v>717</v>
      </c>
    </row>
    <row r="731" ht="15.75" customHeight="1" spans="1:16" x14ac:dyDescent="0.25">
      <c r="A731" s="12">
        <f>_xlfn.AGGREGATE(3,3,$B$9:B731)</f>
        <v>674</v>
      </c>
      <c r="B731" s="12">
        <v>227070023</v>
      </c>
      <c r="C731" s="12" t="s">
        <v>101</v>
      </c>
      <c r="D731" s="12" t="s">
        <v>734</v>
      </c>
      <c r="E731" s="13"/>
      <c r="F731" s="13"/>
      <c r="G731" s="14">
        <f>$G$79</f>
        <v>0</v>
      </c>
      <c r="H731" s="22" t="s">
        <v>717</v>
      </c>
    </row>
    <row r="732" ht="15.75" customHeight="1" spans="1:16" x14ac:dyDescent="0.25">
      <c r="A732" s="12"/>
      <c r="B732" s="12"/>
      <c r="C732" s="12"/>
      <c r="D732" s="12"/>
      <c r="E732" s="13"/>
      <c r="F732" s="13"/>
      <c r="G732" s="14"/>
      <c r="H732" s="22"/>
    </row>
    <row r="733" ht="15.75" customHeight="1" spans="1:16" x14ac:dyDescent="0.25">
      <c r="A733" s="12"/>
      <c r="B733" s="12"/>
      <c r="C733" s="12"/>
      <c r="D733" s="12"/>
      <c r="E733" s="13"/>
      <c r="F733" s="13"/>
      <c r="G733" s="14"/>
      <c r="H733" s="22"/>
    </row>
    <row r="734" ht="15.75" customHeight="1" spans="1:16" x14ac:dyDescent="0.25">
      <c r="A734" s="12"/>
      <c r="B734" s="18"/>
      <c r="C734" s="18"/>
      <c r="D734" s="18"/>
      <c r="E734" s="19"/>
      <c r="F734" s="13"/>
      <c r="G734" s="20"/>
      <c r="H734" s="23"/>
    </row>
    <row r="735" ht="15.75" customHeight="1" spans="1:16" x14ac:dyDescent="0.25">
      <c r="A735" s="12"/>
      <c r="B735" s="12"/>
      <c r="C735" s="12"/>
      <c r="D735" s="12"/>
      <c r="E735" s="13"/>
      <c r="F735" s="13"/>
      <c r="G735" s="14"/>
      <c r="H735" s="22"/>
    </row>
    <row r="736" ht="15.75" customHeight="1" spans="1:16" x14ac:dyDescent="0.25">
      <c r="A736" s="12"/>
      <c r="B736" s="12"/>
      <c r="C736" s="12"/>
      <c r="D736" s="12"/>
      <c r="E736" s="13"/>
      <c r="F736" s="13"/>
      <c r="G736" s="14"/>
      <c r="H736" s="22"/>
    </row>
    <row r="737" ht="15.75" customHeight="1" spans="1:16" x14ac:dyDescent="0.25">
      <c r="A737" s="12"/>
      <c r="B737" s="12"/>
      <c r="C737" s="12"/>
      <c r="D737" s="12"/>
      <c r="E737" s="13"/>
      <c r="F737" s="13"/>
      <c r="G737" s="14"/>
      <c r="H737" s="22"/>
    </row>
    <row r="738" ht="15.75" customHeight="1" spans="1:16" x14ac:dyDescent="0.25">
      <c r="A738" s="12"/>
      <c r="B738" s="12"/>
      <c r="C738" s="12"/>
      <c r="D738" s="12"/>
      <c r="E738" s="13"/>
      <c r="F738" s="13"/>
      <c r="G738" s="14"/>
      <c r="H738" s="22"/>
    </row>
    <row r="739" ht="15.75" customHeight="1" spans="1:16" x14ac:dyDescent="0.25">
      <c r="A739" s="12"/>
      <c r="B739" s="12"/>
      <c r="C739" s="12"/>
      <c r="D739" s="12"/>
      <c r="E739" s="13"/>
      <c r="F739" s="13"/>
      <c r="G739" s="14"/>
      <c r="H739" s="22"/>
    </row>
    <row r="740" ht="15.75" customHeight="1" spans="1:16" x14ac:dyDescent="0.25">
      <c r="A740" s="12"/>
      <c r="B740" s="12"/>
      <c r="C740" s="12"/>
      <c r="D740" s="12"/>
      <c r="E740" s="13"/>
      <c r="F740" s="13"/>
      <c r="G740" s="14"/>
      <c r="H740" s="22"/>
    </row>
    <row r="741" ht="15.75" customHeight="1" spans="1:16" x14ac:dyDescent="0.25">
      <c r="A741" s="12"/>
      <c r="B741" s="12"/>
      <c r="C741" s="12"/>
      <c r="D741" s="12"/>
      <c r="E741" s="13"/>
      <c r="F741" s="13"/>
      <c r="G741" s="14"/>
      <c r="H741" s="22"/>
    </row>
    <row r="742" ht="15.75" customHeight="1" spans="1:16" x14ac:dyDescent="0.25">
      <c r="A742" s="12"/>
      <c r="B742" s="12"/>
      <c r="C742" s="12"/>
      <c r="D742" s="12"/>
      <c r="E742" s="13"/>
      <c r="F742" s="13"/>
      <c r="G742" s="14"/>
      <c r="H742" s="22"/>
    </row>
    <row r="743" ht="15.75" customHeight="1" spans="1:16" x14ac:dyDescent="0.25">
      <c r="A743" s="12"/>
      <c r="B743" s="12"/>
      <c r="C743" s="12"/>
      <c r="D743" s="12"/>
      <c r="E743" s="13"/>
      <c r="F743" s="13"/>
      <c r="G743" s="14"/>
      <c r="H743" s="22"/>
    </row>
    <row r="744" ht="15.75" customHeight="1" spans="1:16" x14ac:dyDescent="0.25">
      <c r="A744" s="12"/>
      <c r="B744" s="12"/>
      <c r="C744" s="12"/>
      <c r="D744" s="12"/>
      <c r="E744" s="13"/>
      <c r="F744" s="13"/>
      <c r="G744" s="14"/>
      <c r="H744" s="22"/>
    </row>
    <row r="745" ht="15.75" customHeight="1" spans="1:16" x14ac:dyDescent="0.25">
      <c r="A745" s="12"/>
      <c r="B745" s="18"/>
      <c r="C745" s="18"/>
      <c r="D745" s="18"/>
      <c r="E745" s="19"/>
      <c r="F745" s="13"/>
      <c r="G745" s="20"/>
      <c r="H745" s="23"/>
    </row>
    <row r="746" ht="15.75" customHeight="1" spans="1:16" x14ac:dyDescent="0.25">
      <c r="A746" s="12"/>
      <c r="B746" s="12"/>
      <c r="C746" s="12"/>
      <c r="D746" s="12"/>
      <c r="E746" s="13"/>
      <c r="F746" s="13"/>
      <c r="G746" s="14"/>
      <c r="H746" s="22"/>
    </row>
    <row r="747" ht="15.75" customHeight="1" spans="1:16" x14ac:dyDescent="0.25">
      <c r="A747" s="12"/>
      <c r="B747" s="12"/>
      <c r="C747" s="12"/>
      <c r="D747" s="12"/>
      <c r="E747" s="13"/>
      <c r="F747" s="13"/>
      <c r="G747" s="14"/>
      <c r="H747" s="22"/>
    </row>
    <row r="748" ht="15.75" customHeight="1" spans="1:16" x14ac:dyDescent="0.25">
      <c r="A748" s="12"/>
      <c r="B748" s="12"/>
      <c r="C748" s="12"/>
      <c r="D748" s="12"/>
      <c r="E748" s="13"/>
      <c r="F748" s="13"/>
      <c r="G748" s="14"/>
      <c r="H748" s="22"/>
    </row>
    <row r="749" ht="15.75" customHeight="1" spans="1:16" x14ac:dyDescent="0.25">
      <c r="A749" s="12">
        <f>_xlfn.AGGREGATE(3,3,$B$9:B749)</f>
        <v>675</v>
      </c>
      <c r="B749" s="12">
        <v>227070045</v>
      </c>
      <c r="C749" s="12" t="s">
        <v>346</v>
      </c>
      <c r="D749" s="12" t="s">
        <v>735</v>
      </c>
      <c r="E749" s="13"/>
      <c r="F749" s="13"/>
      <c r="G749" s="14"/>
      <c r="H749" s="22" t="s">
        <v>717</v>
      </c>
    </row>
    <row r="750" ht="15.75" customHeight="1" spans="1:16" x14ac:dyDescent="0.25">
      <c r="A750" s="12">
        <f>_xlfn.AGGREGATE(3,3,$B$9:B750)</f>
        <v>676</v>
      </c>
      <c r="B750" s="12">
        <v>227070046</v>
      </c>
      <c r="C750" s="12" t="s">
        <v>384</v>
      </c>
      <c r="D750" s="12" t="s">
        <v>70</v>
      </c>
      <c r="E750" s="13"/>
      <c r="F750" s="13"/>
      <c r="G750" s="14"/>
      <c r="H750" s="22" t="s">
        <v>717</v>
      </c>
    </row>
    <row r="751" ht="15.75" customHeight="1" spans="1:16" x14ac:dyDescent="0.25">
      <c r="A751" s="12">
        <f>_xlfn.AGGREGATE(3,3,$B$9:B751)</f>
        <v>677</v>
      </c>
      <c r="B751" s="12">
        <v>227070047</v>
      </c>
      <c r="C751" s="12" t="s">
        <v>19</v>
      </c>
      <c r="D751" s="12" t="s">
        <v>736</v>
      </c>
      <c r="E751" s="13"/>
      <c r="F751" s="13"/>
      <c r="G751" s="14"/>
      <c r="H751" s="22" t="s">
        <v>717</v>
      </c>
    </row>
    <row r="752" ht="15.75" customHeight="1" spans="1:16" x14ac:dyDescent="0.25">
      <c r="A752" s="12">
        <f>_xlfn.AGGREGATE(3,3,$B$9:B752)</f>
        <v>678</v>
      </c>
      <c r="B752" s="12">
        <v>227070048</v>
      </c>
      <c r="C752" s="12" t="s">
        <v>85</v>
      </c>
      <c r="D752" s="12" t="s">
        <v>168</v>
      </c>
      <c r="E752" s="13"/>
      <c r="F752" s="13"/>
      <c r="G752" s="14"/>
      <c r="H752" s="22" t="s">
        <v>717</v>
      </c>
    </row>
    <row r="753" ht="15.75" customHeight="1" spans="1:16" x14ac:dyDescent="0.25">
      <c r="A753" s="12">
        <f>_xlfn.AGGREGATE(3,3,$B$9:B753)</f>
        <v>679</v>
      </c>
      <c r="B753" s="12">
        <v>227070049</v>
      </c>
      <c r="C753" s="12" t="s">
        <v>221</v>
      </c>
      <c r="D753" s="12" t="s">
        <v>126</v>
      </c>
      <c r="E753" s="13"/>
      <c r="F753" s="13"/>
      <c r="G753" s="14"/>
      <c r="H753" s="22" t="s">
        <v>717</v>
      </c>
    </row>
    <row r="754" ht="15.75" customHeight="1" spans="1:16" x14ac:dyDescent="0.25">
      <c r="A754" s="12">
        <f>_xlfn.AGGREGATE(3,3,$B$9:B754)</f>
        <v>680</v>
      </c>
      <c r="B754" s="12">
        <v>227070050</v>
      </c>
      <c r="C754" s="12" t="s">
        <v>737</v>
      </c>
      <c r="D754" s="12" t="s">
        <v>334</v>
      </c>
      <c r="E754" s="13"/>
      <c r="F754" s="13"/>
      <c r="G754" s="14"/>
      <c r="H754" s="22" t="s">
        <v>717</v>
      </c>
    </row>
    <row r="755" ht="15.75" customHeight="1" spans="1:16" x14ac:dyDescent="0.25">
      <c r="A755" s="12">
        <f>_xlfn.AGGREGATE(3,3,$B$9:B755)</f>
        <v>681</v>
      </c>
      <c r="B755" s="12">
        <v>227070051</v>
      </c>
      <c r="C755" s="12" t="s">
        <v>580</v>
      </c>
      <c r="D755" s="12" t="s">
        <v>338</v>
      </c>
      <c r="E755" s="13"/>
      <c r="F755" s="13"/>
      <c r="G755" s="14"/>
      <c r="H755" s="22" t="s">
        <v>717</v>
      </c>
    </row>
    <row r="756" ht="15.75" customHeight="1" spans="1:16" x14ac:dyDescent="0.25">
      <c r="A756" s="12">
        <f>_xlfn.AGGREGATE(3,3,$B$9:B756)</f>
        <v>682</v>
      </c>
      <c r="B756" s="12">
        <v>227070052</v>
      </c>
      <c r="C756" s="12" t="s">
        <v>738</v>
      </c>
      <c r="D756" s="12" t="s">
        <v>535</v>
      </c>
      <c r="E756" s="13"/>
      <c r="F756" s="13"/>
      <c r="G756" s="14"/>
      <c r="H756" s="22" t="s">
        <v>717</v>
      </c>
    </row>
    <row r="757" ht="15.75" customHeight="1" spans="1:16" x14ac:dyDescent="0.25">
      <c r="A757" s="12">
        <f>_xlfn.AGGREGATE(3,3,$B$9:B757)</f>
        <v>683</v>
      </c>
      <c r="B757" s="12">
        <v>227070053</v>
      </c>
      <c r="C757" s="12" t="s">
        <v>739</v>
      </c>
      <c r="D757" s="12" t="s">
        <v>161</v>
      </c>
      <c r="E757" s="13"/>
      <c r="F757" s="13"/>
      <c r="G757" s="14"/>
      <c r="H757" s="22" t="s">
        <v>717</v>
      </c>
    </row>
    <row r="758" ht="15.75" customHeight="1" spans="1:16" x14ac:dyDescent="0.25">
      <c r="A758" s="12">
        <f>_xlfn.AGGREGATE(3,3,$B$9:B758)</f>
        <v>684</v>
      </c>
      <c r="B758" s="12">
        <v>227070054</v>
      </c>
      <c r="C758" s="12" t="s">
        <v>740</v>
      </c>
      <c r="D758" s="12" t="s">
        <v>38</v>
      </c>
      <c r="E758" s="13"/>
      <c r="F758" s="13"/>
      <c r="G758" s="14"/>
      <c r="H758" s="22" t="s">
        <v>717</v>
      </c>
    </row>
    <row r="759" ht="15.75" customHeight="1" spans="1:16" x14ac:dyDescent="0.25">
      <c r="A759" s="12">
        <f>_xlfn.AGGREGATE(3,3,$B$9:B759)</f>
        <v>685</v>
      </c>
      <c r="B759" s="12">
        <v>227070055</v>
      </c>
      <c r="C759" s="12" t="s">
        <v>741</v>
      </c>
      <c r="D759" s="12" t="s">
        <v>64</v>
      </c>
      <c r="E759" s="13"/>
      <c r="F759" s="13"/>
      <c r="G759" s="14"/>
      <c r="H759" s="22" t="s">
        <v>717</v>
      </c>
    </row>
    <row r="760" ht="15.75" customHeight="1" spans="1:16" x14ac:dyDescent="0.25">
      <c r="A760" s="12">
        <f>_xlfn.AGGREGATE(3,3,$B$9:B760)</f>
        <v>686</v>
      </c>
      <c r="B760" s="12">
        <v>227070056</v>
      </c>
      <c r="C760" s="12" t="s">
        <v>742</v>
      </c>
      <c r="D760" s="12" t="s">
        <v>60</v>
      </c>
      <c r="E760" s="13"/>
      <c r="F760" s="13"/>
      <c r="G760" s="14"/>
      <c r="H760" s="22" t="s">
        <v>717</v>
      </c>
    </row>
    <row r="761" ht="15.75" customHeight="1" spans="1:16" x14ac:dyDescent="0.25">
      <c r="A761" s="12">
        <f>_xlfn.AGGREGATE(3,3,$B$9:B761)</f>
        <v>687</v>
      </c>
      <c r="B761" s="12">
        <v>227070058</v>
      </c>
      <c r="C761" s="12" t="s">
        <v>375</v>
      </c>
      <c r="D761" s="12" t="s">
        <v>606</v>
      </c>
      <c r="E761" s="13"/>
      <c r="F761" s="13"/>
      <c r="G761" s="14"/>
      <c r="H761" s="22" t="s">
        <v>717</v>
      </c>
    </row>
    <row r="762" ht="15.75" customHeight="1" spans="1:16" x14ac:dyDescent="0.25">
      <c r="A762" s="12">
        <f>_xlfn.AGGREGATE(3,3,$B$9:B762)</f>
        <v>688</v>
      </c>
      <c r="B762" s="12">
        <v>227070059</v>
      </c>
      <c r="C762" s="12" t="s">
        <v>562</v>
      </c>
      <c r="D762" s="12" t="s">
        <v>122</v>
      </c>
      <c r="E762" s="13"/>
      <c r="F762" s="13"/>
      <c r="G762" s="14"/>
      <c r="H762" s="22" t="s">
        <v>717</v>
      </c>
    </row>
    <row r="763" ht="15.75" customHeight="1" spans="1:16" x14ac:dyDescent="0.25">
      <c r="A763" s="12">
        <f>_xlfn.AGGREGATE(3,3,$B$9:B763)</f>
        <v>689</v>
      </c>
      <c r="B763" s="12">
        <v>227070060</v>
      </c>
      <c r="C763" s="12" t="s">
        <v>743</v>
      </c>
      <c r="D763" s="12" t="s">
        <v>30</v>
      </c>
      <c r="E763" s="13"/>
      <c r="F763" s="13"/>
      <c r="G763" s="14">
        <f>$G$79</f>
        <v>0</v>
      </c>
      <c r="H763" s="22" t="s">
        <v>717</v>
      </c>
    </row>
    <row r="764" ht="15.75" customHeight="1" spans="1:16" x14ac:dyDescent="0.25">
      <c r="A764" s="12">
        <f>_xlfn.AGGREGATE(3,3,$B$9:B764)</f>
        <v>690</v>
      </c>
      <c r="B764" s="12">
        <v>227070063</v>
      </c>
      <c r="C764" s="12" t="s">
        <v>744</v>
      </c>
      <c r="D764" s="12" t="s">
        <v>568</v>
      </c>
      <c r="E764" s="13"/>
      <c r="F764" s="13"/>
      <c r="G764" s="14"/>
      <c r="H764" s="22" t="s">
        <v>717</v>
      </c>
    </row>
    <row r="765" ht="15.75" customHeight="1" spans="1:16" x14ac:dyDescent="0.25">
      <c r="A765" s="12">
        <f>_xlfn.AGGREGATE(3,3,$B$9:B765)</f>
        <v>691</v>
      </c>
      <c r="B765" s="12">
        <v>237070001</v>
      </c>
      <c r="C765" s="12" t="s">
        <v>745</v>
      </c>
      <c r="D765" s="12" t="s">
        <v>64</v>
      </c>
      <c r="E765" s="13"/>
      <c r="F765" s="13"/>
      <c r="G765" s="14"/>
      <c r="H765" s="22" t="s">
        <v>746</v>
      </c>
    </row>
    <row r="766" ht="15.75" customHeight="1" spans="1:16" x14ac:dyDescent="0.25">
      <c r="A766" s="12">
        <f>_xlfn.AGGREGATE(3,3,$B$9:B766)</f>
        <v>692</v>
      </c>
      <c r="B766" s="12">
        <v>237070002</v>
      </c>
      <c r="C766" s="12" t="s">
        <v>449</v>
      </c>
      <c r="D766" s="12" t="s">
        <v>52</v>
      </c>
      <c r="E766" s="13"/>
      <c r="F766" s="13"/>
      <c r="G766" s="14"/>
      <c r="H766" s="22" t="s">
        <v>746</v>
      </c>
    </row>
    <row r="767" ht="15.75" customHeight="1" spans="1:16" x14ac:dyDescent="0.25">
      <c r="A767" s="12">
        <f>_xlfn.AGGREGATE(3,3,$B$9:B767)</f>
        <v>693</v>
      </c>
      <c r="B767" s="12">
        <v>237070003</v>
      </c>
      <c r="C767" s="12" t="s">
        <v>743</v>
      </c>
      <c r="D767" s="12" t="s">
        <v>30</v>
      </c>
      <c r="E767" s="13"/>
      <c r="F767" s="13"/>
      <c r="G767" s="14"/>
      <c r="H767" s="22" t="s">
        <v>746</v>
      </c>
    </row>
    <row r="768" ht="15.75" customHeight="1" spans="1:16" x14ac:dyDescent="0.25">
      <c r="A768" s="12">
        <f>_xlfn.AGGREGATE(3,3,$B$9:B768)</f>
        <v>694</v>
      </c>
      <c r="B768" s="12">
        <v>237070004</v>
      </c>
      <c r="C768" s="12" t="s">
        <v>747</v>
      </c>
      <c r="D768" s="12" t="s">
        <v>43</v>
      </c>
      <c r="E768" s="13"/>
      <c r="F768" s="13"/>
      <c r="G768" s="14"/>
      <c r="H768" s="22" t="s">
        <v>746</v>
      </c>
    </row>
    <row r="769" ht="15.75" customHeight="1" spans="1:16" x14ac:dyDescent="0.25">
      <c r="A769" s="12">
        <f>_xlfn.AGGREGATE(3,3,$B$9:B769)</f>
        <v>695</v>
      </c>
      <c r="B769" s="12">
        <v>237070005</v>
      </c>
      <c r="C769" s="12" t="s">
        <v>748</v>
      </c>
      <c r="D769" s="12" t="s">
        <v>357</v>
      </c>
      <c r="E769" s="13"/>
      <c r="F769" s="13"/>
      <c r="G769" s="14"/>
      <c r="H769" s="22" t="s">
        <v>746</v>
      </c>
    </row>
    <row r="770" ht="15.75" customHeight="1" spans="1:16" x14ac:dyDescent="0.25">
      <c r="A770" s="12">
        <f>_xlfn.AGGREGATE(3,3,$B$9:B770)</f>
        <v>696</v>
      </c>
      <c r="B770" s="12">
        <v>237070006</v>
      </c>
      <c r="C770" s="12" t="s">
        <v>176</v>
      </c>
      <c r="D770" s="12" t="s">
        <v>749</v>
      </c>
      <c r="E770" s="13"/>
      <c r="F770" s="13"/>
      <c r="G770" s="14"/>
      <c r="H770" s="22" t="s">
        <v>746</v>
      </c>
    </row>
    <row r="771" ht="15.75" customHeight="1" spans="1:16" x14ac:dyDescent="0.25">
      <c r="A771" s="12">
        <f>_xlfn.AGGREGATE(3,3,$B$9:B771)</f>
        <v>697</v>
      </c>
      <c r="B771" s="12">
        <v>237070007</v>
      </c>
      <c r="C771" s="12" t="s">
        <v>27</v>
      </c>
      <c r="D771" s="12" t="s">
        <v>92</v>
      </c>
      <c r="E771" s="13"/>
      <c r="F771" s="13"/>
      <c r="G771" s="14"/>
      <c r="H771" s="22" t="s">
        <v>746</v>
      </c>
    </row>
    <row r="772" ht="15.75" customHeight="1" spans="1:16" x14ac:dyDescent="0.25">
      <c r="A772" s="12">
        <f>_xlfn.AGGREGATE(3,3,$B$9:B772)</f>
        <v>698</v>
      </c>
      <c r="B772" s="12">
        <v>237070008</v>
      </c>
      <c r="C772" s="12" t="s">
        <v>14</v>
      </c>
      <c r="D772" s="12" t="s">
        <v>177</v>
      </c>
      <c r="E772" s="13"/>
      <c r="F772" s="13"/>
      <c r="G772" s="14"/>
      <c r="H772" s="22" t="s">
        <v>746</v>
      </c>
    </row>
    <row r="773" ht="15.75" customHeight="1" spans="1:16" x14ac:dyDescent="0.25">
      <c r="A773" s="12">
        <f>_xlfn.AGGREGATE(3,3,$B$9:B773)</f>
        <v>699</v>
      </c>
      <c r="B773" s="12">
        <v>237070009</v>
      </c>
      <c r="C773" s="12" t="s">
        <v>128</v>
      </c>
      <c r="D773" s="12" t="s">
        <v>45</v>
      </c>
      <c r="E773" s="13"/>
      <c r="F773" s="13"/>
      <c r="G773" s="14"/>
      <c r="H773" s="22" t="s">
        <v>746</v>
      </c>
    </row>
    <row r="774" ht="15.75" customHeight="1" spans="1:16" x14ac:dyDescent="0.25">
      <c r="A774" s="12">
        <f>_xlfn.AGGREGATE(3,3,$B$9:B774)</f>
        <v>700</v>
      </c>
      <c r="B774" s="12">
        <v>237070010</v>
      </c>
      <c r="C774" s="12" t="s">
        <v>254</v>
      </c>
      <c r="D774" s="12" t="s">
        <v>419</v>
      </c>
      <c r="E774" s="13"/>
      <c r="F774" s="13"/>
      <c r="G774" s="14"/>
      <c r="H774" s="22" t="s">
        <v>746</v>
      </c>
    </row>
    <row r="775" ht="15.75" customHeight="1" spans="1:16" x14ac:dyDescent="0.25">
      <c r="A775" s="12">
        <f>_xlfn.AGGREGATE(3,3,$B$9:B775)</f>
        <v>701</v>
      </c>
      <c r="B775" s="12">
        <v>237070011</v>
      </c>
      <c r="C775" s="12" t="s">
        <v>228</v>
      </c>
      <c r="D775" s="12" t="s">
        <v>750</v>
      </c>
      <c r="E775" s="13"/>
      <c r="F775" s="13"/>
      <c r="G775" s="14"/>
      <c r="H775" s="22" t="s">
        <v>746</v>
      </c>
    </row>
    <row r="776" ht="15.75" customHeight="1" spans="1:16" x14ac:dyDescent="0.25">
      <c r="A776" s="12">
        <f>_xlfn.AGGREGATE(3,3,$B$9:B776)</f>
        <v>702</v>
      </c>
      <c r="B776" s="12">
        <v>237070012</v>
      </c>
      <c r="C776" s="12" t="s">
        <v>306</v>
      </c>
      <c r="D776" s="12" t="s">
        <v>107</v>
      </c>
      <c r="E776" s="13"/>
      <c r="F776" s="13"/>
      <c r="G776" s="14"/>
      <c r="H776" s="22" t="s">
        <v>746</v>
      </c>
    </row>
    <row r="777" ht="15.75" customHeight="1" spans="1:16" x14ac:dyDescent="0.25">
      <c r="A777" s="12">
        <f>_xlfn.AGGREGATE(3,3,$B$9:B777)</f>
        <v>703</v>
      </c>
      <c r="B777" s="12">
        <v>237070013</v>
      </c>
      <c r="C777" s="12" t="s">
        <v>751</v>
      </c>
      <c r="D777" s="12" t="s">
        <v>30</v>
      </c>
      <c r="E777" s="13"/>
      <c r="F777" s="13"/>
      <c r="G777" s="14"/>
      <c r="H777" s="22" t="s">
        <v>746</v>
      </c>
    </row>
    <row r="778" ht="15.75" customHeight="1" spans="1:16" x14ac:dyDescent="0.25">
      <c r="A778" s="12">
        <f>_xlfn.AGGREGATE(3,3,$B$9:B778)</f>
        <v>704</v>
      </c>
      <c r="B778" s="12">
        <v>237070014</v>
      </c>
      <c r="C778" s="12" t="s">
        <v>53</v>
      </c>
      <c r="D778" s="12" t="s">
        <v>126</v>
      </c>
      <c r="E778" s="13"/>
      <c r="F778" s="13"/>
      <c r="G778" s="14"/>
      <c r="H778" s="22" t="s">
        <v>746</v>
      </c>
    </row>
    <row r="779" ht="15.75" customHeight="1" spans="1:16" x14ac:dyDescent="0.25">
      <c r="A779" s="12">
        <f>_xlfn.AGGREGATE(3,3,$B$9:B779)</f>
        <v>705</v>
      </c>
      <c r="B779" s="12">
        <v>237070015</v>
      </c>
      <c r="C779" s="12" t="s">
        <v>752</v>
      </c>
      <c r="D779" s="12" t="s">
        <v>200</v>
      </c>
      <c r="E779" s="13"/>
      <c r="F779" s="13"/>
      <c r="G779" s="14"/>
      <c r="H779" s="22" t="s">
        <v>746</v>
      </c>
    </row>
    <row r="780" ht="15.75" customHeight="1" spans="1:16" x14ac:dyDescent="0.25">
      <c r="A780" s="12">
        <f>_xlfn.AGGREGATE(3,3,$B$9:B780)</f>
        <v>706</v>
      </c>
      <c r="B780" s="12">
        <v>237070016</v>
      </c>
      <c r="C780" s="12" t="s">
        <v>753</v>
      </c>
      <c r="D780" s="12" t="s">
        <v>64</v>
      </c>
      <c r="E780" s="13"/>
      <c r="F780" s="13"/>
      <c r="G780" s="14"/>
      <c r="H780" s="22" t="s">
        <v>746</v>
      </c>
    </row>
    <row r="781" ht="15.75" customHeight="1" spans="1:16" x14ac:dyDescent="0.25">
      <c r="A781" s="12">
        <f>_xlfn.AGGREGATE(3,3,$B$9:B781)</f>
        <v>707</v>
      </c>
      <c r="B781" s="12">
        <v>237070017</v>
      </c>
      <c r="C781" s="12" t="s">
        <v>754</v>
      </c>
      <c r="D781" s="12" t="s">
        <v>755</v>
      </c>
      <c r="E781" s="13"/>
      <c r="F781" s="13"/>
      <c r="G781" s="14"/>
      <c r="H781" s="22" t="s">
        <v>746</v>
      </c>
    </row>
    <row r="782" ht="15.75" customHeight="1" spans="1:16" x14ac:dyDescent="0.25">
      <c r="A782" s="12">
        <f>_xlfn.AGGREGATE(3,3,$B$9:B782)</f>
        <v>708</v>
      </c>
      <c r="B782" s="12">
        <v>237070018</v>
      </c>
      <c r="C782" s="12" t="s">
        <v>142</v>
      </c>
      <c r="D782" s="12" t="s">
        <v>72</v>
      </c>
      <c r="E782" s="13"/>
      <c r="F782" s="13"/>
      <c r="G782" s="14"/>
      <c r="H782" s="22" t="s">
        <v>746</v>
      </c>
    </row>
    <row r="783" ht="15.75" customHeight="1" spans="1:16" x14ac:dyDescent="0.25">
      <c r="A783" s="12">
        <f>_xlfn.AGGREGATE(3,3,$B$9:B783)</f>
        <v>709</v>
      </c>
      <c r="B783" s="12">
        <v>237070019</v>
      </c>
      <c r="C783" s="12" t="s">
        <v>756</v>
      </c>
      <c r="D783" s="12" t="s">
        <v>318</v>
      </c>
      <c r="E783" s="13"/>
      <c r="F783" s="13"/>
      <c r="G783" s="14"/>
      <c r="H783" s="22" t="s">
        <v>746</v>
      </c>
    </row>
    <row r="784" ht="15.75" customHeight="1" spans="1:16" x14ac:dyDescent="0.25">
      <c r="A784" s="12">
        <f>_xlfn.AGGREGATE(3,3,$B$9:B784)</f>
        <v>710</v>
      </c>
      <c r="B784" s="12">
        <v>237070020</v>
      </c>
      <c r="C784" s="12" t="s">
        <v>131</v>
      </c>
      <c r="D784" s="12" t="s">
        <v>214</v>
      </c>
      <c r="E784" s="13"/>
      <c r="F784" s="13"/>
      <c r="G784" s="14"/>
      <c r="H784" s="22" t="s">
        <v>746</v>
      </c>
    </row>
    <row r="785" ht="15.75" customHeight="1" spans="1:16" x14ac:dyDescent="0.25">
      <c r="A785" s="12">
        <f>_xlfn.AGGREGATE(3,3,$B$9:B785)</f>
        <v>711</v>
      </c>
      <c r="B785" s="12">
        <v>237070022</v>
      </c>
      <c r="C785" s="12" t="s">
        <v>757</v>
      </c>
      <c r="D785" s="12" t="s">
        <v>357</v>
      </c>
      <c r="E785" s="13"/>
      <c r="F785" s="13"/>
      <c r="G785" s="14"/>
      <c r="H785" s="22" t="s">
        <v>746</v>
      </c>
    </row>
    <row r="786" ht="15.75" customHeight="1" spans="1:16" x14ac:dyDescent="0.25">
      <c r="A786" s="12">
        <f>_xlfn.AGGREGATE(3,3,$B$9:B786)</f>
        <v>712</v>
      </c>
      <c r="B786" s="12">
        <v>237070024</v>
      </c>
      <c r="C786" s="12" t="s">
        <v>758</v>
      </c>
      <c r="D786" s="12" t="s">
        <v>171</v>
      </c>
      <c r="E786" s="13"/>
      <c r="F786" s="13"/>
      <c r="G786" s="14"/>
      <c r="H786" s="22" t="s">
        <v>746</v>
      </c>
    </row>
    <row r="787" ht="15.75" customHeight="1" spans="1:16" x14ac:dyDescent="0.25">
      <c r="A787" s="12">
        <f>_xlfn.AGGREGATE(3,3,$B$9:B787)</f>
        <v>713</v>
      </c>
      <c r="B787" s="12">
        <v>237070025</v>
      </c>
      <c r="C787" s="12" t="s">
        <v>176</v>
      </c>
      <c r="D787" s="12" t="s">
        <v>28</v>
      </c>
      <c r="E787" s="13"/>
      <c r="F787" s="13"/>
      <c r="G787" s="14"/>
      <c r="H787" s="22" t="s">
        <v>746</v>
      </c>
    </row>
    <row r="788" ht="15.75" customHeight="1" spans="1:16" x14ac:dyDescent="0.25">
      <c r="A788" s="12">
        <f>_xlfn.AGGREGATE(3,3,$B$9:B788)</f>
        <v>714</v>
      </c>
      <c r="B788" s="12">
        <v>237070026</v>
      </c>
      <c r="C788" s="12" t="s">
        <v>603</v>
      </c>
      <c r="D788" s="12" t="s">
        <v>66</v>
      </c>
      <c r="E788" s="13"/>
      <c r="F788" s="13"/>
      <c r="G788" s="14"/>
      <c r="H788" s="22" t="s">
        <v>746</v>
      </c>
    </row>
    <row r="789" ht="15.75" customHeight="1" spans="1:16" x14ac:dyDescent="0.25">
      <c r="A789" s="12">
        <f>_xlfn.AGGREGATE(3,3,$B$9:B789)</f>
        <v>715</v>
      </c>
      <c r="B789" s="12">
        <v>237070027</v>
      </c>
      <c r="C789" s="12" t="s">
        <v>759</v>
      </c>
      <c r="D789" s="12" t="s">
        <v>50</v>
      </c>
      <c r="E789" s="13"/>
      <c r="F789" s="13"/>
      <c r="G789" s="14"/>
      <c r="H789" s="22" t="s">
        <v>746</v>
      </c>
    </row>
    <row r="790" ht="15.75" customHeight="1" spans="1:16" x14ac:dyDescent="0.25">
      <c r="A790" s="12">
        <f>_xlfn.AGGREGATE(3,3,$B$9:B790)</f>
        <v>716</v>
      </c>
      <c r="B790" s="12">
        <v>237070028</v>
      </c>
      <c r="C790" s="12" t="s">
        <v>760</v>
      </c>
      <c r="D790" s="12" t="s">
        <v>673</v>
      </c>
      <c r="E790" s="13"/>
      <c r="F790" s="13"/>
      <c r="G790" s="14"/>
      <c r="H790" s="22" t="s">
        <v>746</v>
      </c>
    </row>
    <row r="791" ht="15.75" customHeight="1" spans="1:16" x14ac:dyDescent="0.25">
      <c r="A791" s="12">
        <f>_xlfn.AGGREGATE(3,3,$B$9:B791)</f>
        <v>717</v>
      </c>
      <c r="B791" s="12">
        <v>237070029</v>
      </c>
      <c r="C791" s="12" t="s">
        <v>761</v>
      </c>
      <c r="D791" s="12" t="s">
        <v>64</v>
      </c>
      <c r="E791" s="13"/>
      <c r="F791" s="13"/>
      <c r="G791" s="14"/>
      <c r="H791" s="22" t="s">
        <v>746</v>
      </c>
    </row>
    <row r="792" ht="15.75" customHeight="1" spans="1:16" x14ac:dyDescent="0.25">
      <c r="A792" s="12">
        <f>_xlfn.AGGREGATE(3,3,$B$9:B792)</f>
        <v>718</v>
      </c>
      <c r="B792" s="12">
        <v>237070030</v>
      </c>
      <c r="C792" s="12" t="s">
        <v>101</v>
      </c>
      <c r="D792" s="12" t="s">
        <v>48</v>
      </c>
      <c r="E792" s="13"/>
      <c r="F792" s="13"/>
      <c r="G792" s="14"/>
      <c r="H792" s="22" t="s">
        <v>746</v>
      </c>
    </row>
    <row r="793" ht="15.75" customHeight="1" spans="1:16" x14ac:dyDescent="0.25">
      <c r="A793" s="12">
        <f>_xlfn.AGGREGATE(3,3,$B$9:B793)</f>
        <v>719</v>
      </c>
      <c r="B793" s="12">
        <v>237070031</v>
      </c>
      <c r="C793" s="12" t="s">
        <v>53</v>
      </c>
      <c r="D793" s="12" t="s">
        <v>43</v>
      </c>
      <c r="E793" s="13"/>
      <c r="F793" s="13"/>
      <c r="G793" s="14"/>
      <c r="H793" s="22" t="s">
        <v>746</v>
      </c>
    </row>
    <row r="794" ht="15.75" customHeight="1" spans="1:16" x14ac:dyDescent="0.25">
      <c r="A794" s="12">
        <f>_xlfn.AGGREGATE(3,3,$B$9:B794)</f>
        <v>720</v>
      </c>
      <c r="B794" s="12">
        <v>237070032</v>
      </c>
      <c r="C794" s="12" t="s">
        <v>762</v>
      </c>
      <c r="D794" s="12" t="s">
        <v>366</v>
      </c>
      <c r="E794" s="13"/>
      <c r="F794" s="13"/>
      <c r="G794" s="14"/>
      <c r="H794" s="22" t="s">
        <v>746</v>
      </c>
    </row>
    <row r="795" ht="15.75" customHeight="1" spans="1:16" x14ac:dyDescent="0.25">
      <c r="A795" s="12">
        <f>_xlfn.AGGREGATE(3,3,$B$9:B795)</f>
        <v>721</v>
      </c>
      <c r="B795" s="12">
        <v>237070034</v>
      </c>
      <c r="C795" s="12" t="s">
        <v>27</v>
      </c>
      <c r="D795" s="12" t="s">
        <v>763</v>
      </c>
      <c r="E795" s="13"/>
      <c r="F795" s="13"/>
      <c r="G795" s="14"/>
      <c r="H795" s="22" t="s">
        <v>746</v>
      </c>
    </row>
    <row r="796" ht="15.75" customHeight="1" spans="1:16" x14ac:dyDescent="0.25">
      <c r="A796" s="12">
        <f>_xlfn.AGGREGATE(3,3,$B$9:B796)</f>
        <v>722</v>
      </c>
      <c r="B796" s="12">
        <v>237070035</v>
      </c>
      <c r="C796" s="12" t="s">
        <v>642</v>
      </c>
      <c r="D796" s="12" t="s">
        <v>366</v>
      </c>
      <c r="E796" s="13"/>
      <c r="F796" s="13"/>
      <c r="G796" s="14"/>
      <c r="H796" s="22" t="s">
        <v>746</v>
      </c>
    </row>
    <row r="797" ht="15.75" customHeight="1" spans="1:16" x14ac:dyDescent="0.25">
      <c r="A797" s="12">
        <f>_xlfn.AGGREGATE(3,3,$B$9:B797)</f>
        <v>723</v>
      </c>
      <c r="B797" s="12">
        <v>237070038</v>
      </c>
      <c r="C797" s="12" t="s">
        <v>764</v>
      </c>
      <c r="D797" s="12" t="s">
        <v>323</v>
      </c>
      <c r="E797" s="13"/>
      <c r="F797" s="13"/>
      <c r="G797" s="14"/>
      <c r="H797" s="22" t="s">
        <v>746</v>
      </c>
    </row>
    <row r="798" ht="15.75" customHeight="1" spans="1:16" x14ac:dyDescent="0.25">
      <c r="A798" s="12">
        <f>_xlfn.AGGREGATE(3,3,$B$9:B798)</f>
        <v>724</v>
      </c>
      <c r="B798" s="12">
        <v>237070039</v>
      </c>
      <c r="C798" s="12" t="s">
        <v>765</v>
      </c>
      <c r="D798" s="12" t="s">
        <v>206</v>
      </c>
      <c r="E798" s="13"/>
      <c r="F798" s="13"/>
      <c r="G798" s="14"/>
      <c r="H798" s="22" t="s">
        <v>746</v>
      </c>
    </row>
    <row r="799" ht="15.75" customHeight="1" spans="1:16" x14ac:dyDescent="0.25">
      <c r="A799" s="12">
        <f>_xlfn.AGGREGATE(3,3,$B$9:B799)</f>
        <v>725</v>
      </c>
      <c r="B799" s="12">
        <v>237070040</v>
      </c>
      <c r="C799" s="12" t="s">
        <v>312</v>
      </c>
      <c r="D799" s="12" t="s">
        <v>30</v>
      </c>
      <c r="E799" s="13"/>
      <c r="F799" s="13"/>
      <c r="G799" s="14"/>
      <c r="H799" s="22" t="s">
        <v>746</v>
      </c>
    </row>
    <row r="800" ht="15.75" customHeight="1" spans="1:16" x14ac:dyDescent="0.25">
      <c r="A800" s="12">
        <f>_xlfn.AGGREGATE(3,3,$B$9:B800)</f>
        <v>726</v>
      </c>
      <c r="B800" s="12">
        <v>237070042</v>
      </c>
      <c r="C800" s="12" t="s">
        <v>337</v>
      </c>
      <c r="D800" s="12" t="s">
        <v>168</v>
      </c>
      <c r="E800" s="13"/>
      <c r="F800" s="13"/>
      <c r="G800" s="14"/>
      <c r="H800" s="22" t="s">
        <v>746</v>
      </c>
    </row>
    <row r="801" ht="15.75" customHeight="1" spans="1:16" x14ac:dyDescent="0.25">
      <c r="A801" s="12">
        <f>_xlfn.AGGREGATE(3,3,$B$9:B801)</f>
        <v>727</v>
      </c>
      <c r="B801" s="12">
        <v>237070043</v>
      </c>
      <c r="C801" s="12" t="s">
        <v>650</v>
      </c>
      <c r="D801" s="12" t="s">
        <v>766</v>
      </c>
      <c r="E801" s="13"/>
      <c r="F801" s="13"/>
      <c r="G801" s="14"/>
      <c r="H801" s="22" t="s">
        <v>746</v>
      </c>
    </row>
    <row r="802" ht="15.75" customHeight="1" spans="1:16" x14ac:dyDescent="0.25">
      <c r="A802" s="12">
        <f>_xlfn.AGGREGATE(3,3,$B$9:B802)</f>
        <v>728</v>
      </c>
      <c r="B802" s="12">
        <v>237070044</v>
      </c>
      <c r="C802" s="12" t="s">
        <v>449</v>
      </c>
      <c r="D802" s="12" t="s">
        <v>116</v>
      </c>
      <c r="E802" s="13"/>
      <c r="F802" s="13"/>
      <c r="G802" s="14"/>
      <c r="H802" s="22" t="s">
        <v>746</v>
      </c>
    </row>
    <row r="803" ht="15.75" customHeight="1" spans="1:16" x14ac:dyDescent="0.25">
      <c r="A803" s="12">
        <f>_xlfn.AGGREGATE(3,3,$B$9:B803)</f>
        <v>729</v>
      </c>
      <c r="B803" s="12">
        <v>237070045</v>
      </c>
      <c r="C803" s="12" t="s">
        <v>176</v>
      </c>
      <c r="D803" s="12" t="s">
        <v>241</v>
      </c>
      <c r="E803" s="13"/>
      <c r="F803" s="13"/>
      <c r="G803" s="14"/>
      <c r="H803" s="22" t="s">
        <v>746</v>
      </c>
    </row>
    <row r="804" ht="15.75" customHeight="1" spans="1:16" x14ac:dyDescent="0.25">
      <c r="A804" s="12">
        <f>_xlfn.AGGREGATE(3,3,$B$9:B804)</f>
        <v>730</v>
      </c>
      <c r="B804" s="12">
        <v>237070046</v>
      </c>
      <c r="C804" s="12" t="s">
        <v>221</v>
      </c>
      <c r="D804" s="12" t="s">
        <v>93</v>
      </c>
      <c r="E804" s="13"/>
      <c r="F804" s="13"/>
      <c r="G804" s="14"/>
      <c r="H804" s="22" t="s">
        <v>746</v>
      </c>
    </row>
    <row r="805" ht="15.75" customHeight="1" spans="1:16" x14ac:dyDescent="0.25">
      <c r="A805" s="12">
        <f>_xlfn.AGGREGATE(3,3,$B$9:B805)</f>
        <v>731</v>
      </c>
      <c r="B805" s="12">
        <v>237070047</v>
      </c>
      <c r="C805" s="12" t="s">
        <v>767</v>
      </c>
      <c r="D805" s="12" t="s">
        <v>52</v>
      </c>
      <c r="E805" s="13"/>
      <c r="F805" s="13"/>
      <c r="G805" s="14"/>
      <c r="H805" s="22" t="s">
        <v>746</v>
      </c>
    </row>
    <row r="806" ht="15.75" customHeight="1" spans="1:16" x14ac:dyDescent="0.25">
      <c r="A806" s="12">
        <f>_xlfn.AGGREGATE(3,3,$B$9:B806)</f>
        <v>732</v>
      </c>
      <c r="B806" s="12">
        <v>237070048</v>
      </c>
      <c r="C806" s="12" t="s">
        <v>768</v>
      </c>
      <c r="D806" s="12" t="s">
        <v>38</v>
      </c>
      <c r="E806" s="13"/>
      <c r="F806" s="13"/>
      <c r="G806" s="14"/>
      <c r="H806" s="22" t="s">
        <v>746</v>
      </c>
    </row>
    <row r="807" ht="15.75" customHeight="1" spans="1:16" x14ac:dyDescent="0.25">
      <c r="A807" s="12">
        <f>_xlfn.AGGREGATE(3,3,$B$9:B807)</f>
        <v>733</v>
      </c>
      <c r="B807" s="12">
        <v>237070049</v>
      </c>
      <c r="C807" s="12" t="s">
        <v>228</v>
      </c>
      <c r="D807" s="12" t="s">
        <v>48</v>
      </c>
      <c r="E807" s="13"/>
      <c r="F807" s="13"/>
      <c r="G807" s="14"/>
      <c r="H807" s="22" t="s">
        <v>746</v>
      </c>
    </row>
    <row r="808" ht="15.75" customHeight="1" spans="1:16" x14ac:dyDescent="0.25">
      <c r="A808" s="12">
        <f>_xlfn.AGGREGATE(3,3,$B$9:B808)</f>
        <v>734</v>
      </c>
      <c r="B808" s="12">
        <v>237070050</v>
      </c>
      <c r="C808" s="12" t="s">
        <v>769</v>
      </c>
      <c r="D808" s="12" t="s">
        <v>90</v>
      </c>
      <c r="E808" s="13"/>
      <c r="F808" s="13"/>
      <c r="G808" s="14"/>
      <c r="H808" s="22" t="s">
        <v>746</v>
      </c>
    </row>
    <row r="809" ht="15.75" customHeight="1" spans="1:16" x14ac:dyDescent="0.25">
      <c r="A809" s="12">
        <f>_xlfn.AGGREGATE(3,3,$B$9:B809)</f>
        <v>735</v>
      </c>
      <c r="B809" s="12">
        <v>237070051</v>
      </c>
      <c r="C809" s="12" t="s">
        <v>49</v>
      </c>
      <c r="D809" s="12" t="s">
        <v>185</v>
      </c>
      <c r="E809" s="13"/>
      <c r="F809" s="13"/>
      <c r="G809" s="14"/>
      <c r="H809" s="22" t="s">
        <v>746</v>
      </c>
    </row>
    <row r="810" ht="15.75" customHeight="1" spans="1:16" x14ac:dyDescent="0.25">
      <c r="A810" s="12">
        <f>_xlfn.AGGREGATE(3,3,$B$9:B810)</f>
        <v>736</v>
      </c>
      <c r="B810" s="12">
        <v>237070056</v>
      </c>
      <c r="C810" s="12" t="s">
        <v>573</v>
      </c>
      <c r="D810" s="12" t="s">
        <v>770</v>
      </c>
      <c r="E810" s="13"/>
      <c r="F810" s="13"/>
      <c r="G810" s="14"/>
      <c r="H810" s="22" t="s">
        <v>746</v>
      </c>
    </row>
    <row r="811" ht="15.75" customHeight="1" spans="1:16" x14ac:dyDescent="0.25">
      <c r="A811" s="12">
        <f>_xlfn.AGGREGATE(3,3,$B$9:B811)</f>
        <v>737</v>
      </c>
      <c r="B811" s="12">
        <v>237070057</v>
      </c>
      <c r="C811" s="12" t="s">
        <v>771</v>
      </c>
      <c r="D811" s="12" t="s">
        <v>180</v>
      </c>
      <c r="E811" s="13"/>
      <c r="F811" s="13"/>
      <c r="G811" s="14"/>
      <c r="H811" s="22" t="s">
        <v>746</v>
      </c>
    </row>
    <row r="812" ht="15.75" customHeight="1" spans="1:16" x14ac:dyDescent="0.25">
      <c r="A812" s="12">
        <f>_xlfn.AGGREGATE(3,3,$B$9:B812)</f>
        <v>738</v>
      </c>
      <c r="B812" s="12">
        <v>247070001</v>
      </c>
      <c r="C812" s="12" t="s">
        <v>772</v>
      </c>
      <c r="D812" s="12" t="s">
        <v>189</v>
      </c>
      <c r="E812" s="13"/>
      <c r="F812" s="13"/>
      <c r="G812" s="14"/>
      <c r="H812" s="22" t="s">
        <v>773</v>
      </c>
    </row>
    <row r="813" ht="15.75" customHeight="1" spans="1:16" x14ac:dyDescent="0.25">
      <c r="A813" s="12">
        <f>_xlfn.AGGREGATE(3,3,$B$9:B813)</f>
        <v>739</v>
      </c>
      <c r="B813" s="12">
        <v>247070002</v>
      </c>
      <c r="C813" s="12" t="s">
        <v>432</v>
      </c>
      <c r="D813" s="12" t="s">
        <v>64</v>
      </c>
      <c r="E813" s="13"/>
      <c r="F813" s="13"/>
      <c r="G813" s="14"/>
      <c r="H813" s="22" t="s">
        <v>773</v>
      </c>
    </row>
    <row r="814" ht="15.75" customHeight="1" spans="1:16" x14ac:dyDescent="0.25">
      <c r="A814" s="12">
        <f>_xlfn.AGGREGATE(3,3,$B$9:B814)</f>
        <v>740</v>
      </c>
      <c r="B814" s="12">
        <v>247070003</v>
      </c>
      <c r="C814" s="12" t="s">
        <v>167</v>
      </c>
      <c r="D814" s="12" t="s">
        <v>334</v>
      </c>
      <c r="E814" s="13"/>
      <c r="F814" s="13"/>
      <c r="G814" s="14"/>
      <c r="H814" s="22" t="s">
        <v>773</v>
      </c>
    </row>
    <row r="815" ht="15.75" customHeight="1" spans="1:16" x14ac:dyDescent="0.25">
      <c r="A815" s="12">
        <f>_xlfn.AGGREGATE(3,3,$B$9:B815)</f>
        <v>741</v>
      </c>
      <c r="B815" s="12">
        <v>247070004</v>
      </c>
      <c r="C815" s="12" t="s">
        <v>211</v>
      </c>
      <c r="D815" s="12" t="s">
        <v>64</v>
      </c>
      <c r="E815" s="13"/>
      <c r="F815" s="13"/>
      <c r="G815" s="14"/>
      <c r="H815" s="22" t="s">
        <v>773</v>
      </c>
    </row>
    <row r="816" ht="15.75" customHeight="1" spans="1:16" x14ac:dyDescent="0.25">
      <c r="A816" s="12">
        <f>_xlfn.AGGREGATE(3,3,$B$9:B816)</f>
        <v>742</v>
      </c>
      <c r="B816" s="12">
        <v>247070005</v>
      </c>
      <c r="C816" s="12" t="s">
        <v>774</v>
      </c>
      <c r="D816" s="12" t="s">
        <v>15</v>
      </c>
      <c r="E816" s="13"/>
      <c r="F816" s="13"/>
      <c r="G816" s="14"/>
      <c r="H816" s="22" t="s">
        <v>773</v>
      </c>
    </row>
    <row r="817" ht="15.75" customHeight="1" spans="1:16" x14ac:dyDescent="0.25">
      <c r="A817" s="12">
        <f>_xlfn.AGGREGATE(3,3,$B$9:B817)</f>
        <v>743</v>
      </c>
      <c r="B817" s="12">
        <v>247070006</v>
      </c>
      <c r="C817" s="12" t="s">
        <v>384</v>
      </c>
      <c r="D817" s="12" t="s">
        <v>32</v>
      </c>
      <c r="E817" s="13"/>
      <c r="F817" s="13"/>
      <c r="G817" s="14"/>
      <c r="H817" s="22" t="s">
        <v>773</v>
      </c>
    </row>
    <row r="818" ht="15.75" customHeight="1" spans="1:16" x14ac:dyDescent="0.25">
      <c r="A818" s="12">
        <f>_xlfn.AGGREGATE(3,3,$B$9:B818)</f>
        <v>744</v>
      </c>
      <c r="B818" s="12">
        <v>247070007</v>
      </c>
      <c r="C818" s="12" t="s">
        <v>775</v>
      </c>
      <c r="D818" s="12" t="s">
        <v>776</v>
      </c>
      <c r="E818" s="13"/>
      <c r="F818" s="13"/>
      <c r="G818" s="14"/>
      <c r="H818" s="22" t="s">
        <v>773</v>
      </c>
    </row>
    <row r="819" ht="15.75" customHeight="1" spans="1:16" x14ac:dyDescent="0.25">
      <c r="A819" s="12">
        <f>_xlfn.AGGREGATE(3,3,$B$9:B819)</f>
        <v>745</v>
      </c>
      <c r="B819" s="12">
        <v>247070008</v>
      </c>
      <c r="C819" s="12" t="s">
        <v>777</v>
      </c>
      <c r="D819" s="12" t="s">
        <v>86</v>
      </c>
      <c r="E819" s="13"/>
      <c r="F819" s="13"/>
      <c r="G819" s="14"/>
      <c r="H819" s="22" t="s">
        <v>773</v>
      </c>
    </row>
    <row r="820" ht="15.75" customHeight="1" spans="1:16" x14ac:dyDescent="0.25">
      <c r="A820" s="12">
        <f>_xlfn.AGGREGATE(3,3,$B$9:B820)</f>
        <v>746</v>
      </c>
      <c r="B820" s="12">
        <v>247070009</v>
      </c>
      <c r="C820" s="12" t="s">
        <v>81</v>
      </c>
      <c r="D820" s="12" t="s">
        <v>778</v>
      </c>
      <c r="E820" s="13"/>
      <c r="F820" s="13"/>
      <c r="G820" s="14"/>
      <c r="H820" s="22" t="s">
        <v>773</v>
      </c>
    </row>
    <row r="821" ht="15.75" customHeight="1" spans="1:16" x14ac:dyDescent="0.25">
      <c r="A821" s="12">
        <f>_xlfn.AGGREGATE(3,3,$B$9:B821)</f>
        <v>747</v>
      </c>
      <c r="B821" s="12">
        <v>247070010</v>
      </c>
      <c r="C821" s="12" t="s">
        <v>228</v>
      </c>
      <c r="D821" s="12" t="s">
        <v>86</v>
      </c>
      <c r="E821" s="13"/>
      <c r="F821" s="13"/>
      <c r="G821" s="14"/>
      <c r="H821" s="22" t="s">
        <v>773</v>
      </c>
    </row>
    <row r="822" ht="15.75" customHeight="1" spans="1:16" x14ac:dyDescent="0.25">
      <c r="A822" s="12">
        <f>_xlfn.AGGREGATE(3,3,$B$9:B822)</f>
        <v>748</v>
      </c>
      <c r="B822" s="12">
        <v>247070011</v>
      </c>
      <c r="C822" s="12" t="s">
        <v>594</v>
      </c>
      <c r="D822" s="12" t="s">
        <v>200</v>
      </c>
      <c r="E822" s="13"/>
      <c r="F822" s="13"/>
      <c r="G822" s="14"/>
      <c r="H822" s="22" t="s">
        <v>773</v>
      </c>
    </row>
    <row r="823" ht="15.75" customHeight="1" spans="1:16" x14ac:dyDescent="0.25">
      <c r="A823" s="12">
        <f>_xlfn.AGGREGATE(3,3,$B$9:B823)</f>
        <v>749</v>
      </c>
      <c r="B823" s="12">
        <v>247070012</v>
      </c>
      <c r="C823" s="12" t="s">
        <v>779</v>
      </c>
      <c r="D823" s="12" t="s">
        <v>535</v>
      </c>
      <c r="E823" s="13"/>
      <c r="F823" s="13"/>
      <c r="G823" s="14"/>
      <c r="H823" s="22" t="s">
        <v>773</v>
      </c>
    </row>
    <row r="824" ht="15.75" customHeight="1" spans="1:16" x14ac:dyDescent="0.25">
      <c r="A824" s="12">
        <f>_xlfn.AGGREGATE(3,3,$B$9:B824)</f>
        <v>750</v>
      </c>
      <c r="B824" s="12">
        <v>247070013</v>
      </c>
      <c r="C824" s="12" t="s">
        <v>780</v>
      </c>
      <c r="D824" s="12" t="s">
        <v>111</v>
      </c>
      <c r="E824" s="13"/>
      <c r="F824" s="13"/>
      <c r="G824" s="14"/>
      <c r="H824" s="22" t="s">
        <v>773</v>
      </c>
    </row>
    <row r="825" ht="15.75" customHeight="1" spans="1:16" x14ac:dyDescent="0.25">
      <c r="A825" s="12">
        <f>_xlfn.AGGREGATE(3,3,$B$9:B825)</f>
        <v>751</v>
      </c>
      <c r="B825" s="12">
        <v>247070014</v>
      </c>
      <c r="C825" s="12" t="s">
        <v>346</v>
      </c>
      <c r="D825" s="12" t="s">
        <v>357</v>
      </c>
      <c r="E825" s="13"/>
      <c r="F825" s="13"/>
      <c r="G825" s="14"/>
      <c r="H825" s="22" t="s">
        <v>773</v>
      </c>
    </row>
    <row r="826" ht="15.75" customHeight="1" spans="1:16" x14ac:dyDescent="0.25">
      <c r="A826" s="12">
        <f>_xlfn.AGGREGATE(3,3,$B$9:B826)</f>
        <v>752</v>
      </c>
      <c r="B826" s="12">
        <v>247070015</v>
      </c>
      <c r="C826" s="12" t="s">
        <v>51</v>
      </c>
      <c r="D826" s="12" t="s">
        <v>504</v>
      </c>
      <c r="E826" s="13"/>
      <c r="F826" s="13"/>
      <c r="G826" s="14"/>
      <c r="H826" s="15" t="s">
        <v>773</v>
      </c>
    </row>
    <row r="827" ht="15.75" customHeight="1" spans="1:16" x14ac:dyDescent="0.25">
      <c r="A827" s="12">
        <f>_xlfn.AGGREGATE(3,3,$B$9:B827)</f>
        <v>753</v>
      </c>
      <c r="B827" s="12">
        <v>247070016</v>
      </c>
      <c r="C827" s="12" t="s">
        <v>781</v>
      </c>
      <c r="D827" s="12" t="s">
        <v>132</v>
      </c>
      <c r="E827" s="13"/>
      <c r="F827" s="13"/>
      <c r="G827" s="14">
        <f>$G$714</f>
        <v>0</v>
      </c>
      <c r="H827" s="22" t="s">
        <v>773</v>
      </c>
    </row>
    <row r="828" ht="15.75" customHeight="1" spans="1:16" x14ac:dyDescent="0.25">
      <c r="A828" s="12">
        <f>_xlfn.AGGREGATE(3,3,$B$9:B828)</f>
        <v>754</v>
      </c>
      <c r="B828" s="12">
        <v>247070017</v>
      </c>
      <c r="C828" s="12" t="s">
        <v>228</v>
      </c>
      <c r="D828" s="12" t="s">
        <v>782</v>
      </c>
      <c r="E828" s="13"/>
      <c r="F828" s="13"/>
      <c r="G828" s="14"/>
      <c r="H828" s="22" t="s">
        <v>773</v>
      </c>
    </row>
    <row r="829" ht="15.75" customHeight="1" spans="1:16" x14ac:dyDescent="0.25">
      <c r="A829" s="12">
        <f>_xlfn.AGGREGATE(3,3,$B$9:B829)</f>
        <v>755</v>
      </c>
      <c r="B829" s="12">
        <v>247070018</v>
      </c>
      <c r="C829" s="12" t="s">
        <v>254</v>
      </c>
      <c r="D829" s="12" t="s">
        <v>90</v>
      </c>
      <c r="E829" s="13"/>
      <c r="F829" s="13"/>
      <c r="G829" s="14"/>
      <c r="H829" s="22" t="s">
        <v>773</v>
      </c>
    </row>
    <row r="830" ht="15.75" customHeight="1" spans="1:16" x14ac:dyDescent="0.25">
      <c r="A830" s="12">
        <f>_xlfn.AGGREGATE(3,3,$B$9:B830)</f>
        <v>756</v>
      </c>
      <c r="B830" s="12">
        <v>247070019</v>
      </c>
      <c r="C830" s="12" t="s">
        <v>783</v>
      </c>
      <c r="D830" s="12" t="s">
        <v>84</v>
      </c>
      <c r="E830" s="13"/>
      <c r="F830" s="13"/>
      <c r="G830" s="14"/>
      <c r="H830" s="22" t="s">
        <v>773</v>
      </c>
    </row>
    <row r="831" ht="15.75" customHeight="1" spans="1:16" x14ac:dyDescent="0.25">
      <c r="A831" s="12">
        <f>_xlfn.AGGREGATE(3,3,$B$9:B831)</f>
        <v>757</v>
      </c>
      <c r="B831" s="12">
        <v>247070020</v>
      </c>
      <c r="C831" s="12" t="s">
        <v>784</v>
      </c>
      <c r="D831" s="12" t="s">
        <v>84</v>
      </c>
      <c r="E831" s="13"/>
      <c r="F831" s="13"/>
      <c r="G831" s="14"/>
      <c r="H831" s="22" t="s">
        <v>773</v>
      </c>
    </row>
    <row r="832" ht="15.75" customHeight="1" spans="1:16" x14ac:dyDescent="0.25">
      <c r="A832" s="12">
        <f>_xlfn.AGGREGATE(3,3,$B$9:B832)</f>
        <v>758</v>
      </c>
      <c r="B832" s="12">
        <v>247070022</v>
      </c>
      <c r="C832" s="12" t="s">
        <v>142</v>
      </c>
      <c r="D832" s="12" t="s">
        <v>200</v>
      </c>
      <c r="E832" s="13"/>
      <c r="F832" s="13"/>
      <c r="G832" s="14"/>
      <c r="H832" s="22" t="s">
        <v>773</v>
      </c>
    </row>
    <row r="833" ht="15.75" customHeight="1" spans="1:16" x14ac:dyDescent="0.25">
      <c r="A833" s="12">
        <f>_xlfn.AGGREGATE(3,3,$B$9:B833)</f>
        <v>759</v>
      </c>
      <c r="B833" s="12">
        <v>247070023</v>
      </c>
      <c r="C833" s="12" t="s">
        <v>600</v>
      </c>
      <c r="D833" s="12" t="s">
        <v>378</v>
      </c>
      <c r="E833" s="13"/>
      <c r="F833" s="13"/>
      <c r="G833" s="14"/>
      <c r="H833" s="22" t="s">
        <v>773</v>
      </c>
    </row>
    <row r="834" ht="15.75" customHeight="1" spans="1:16" x14ac:dyDescent="0.25">
      <c r="A834" s="12">
        <f>_xlfn.AGGREGATE(3,3,$B$9:B834)</f>
        <v>760</v>
      </c>
      <c r="B834" s="12">
        <v>247070024</v>
      </c>
      <c r="C834" s="12" t="s">
        <v>785</v>
      </c>
      <c r="D834" s="12" t="s">
        <v>107</v>
      </c>
      <c r="E834" s="13"/>
      <c r="F834" s="13"/>
      <c r="G834" s="14"/>
      <c r="H834" s="22" t="s">
        <v>773</v>
      </c>
    </row>
    <row r="835" ht="15.75" customHeight="1" spans="1:16" x14ac:dyDescent="0.25">
      <c r="A835" s="12">
        <f>_xlfn.AGGREGATE(3,3,$B$9:B835)</f>
        <v>761</v>
      </c>
      <c r="B835" s="12">
        <v>247070025</v>
      </c>
      <c r="C835" s="12" t="s">
        <v>786</v>
      </c>
      <c r="D835" s="12" t="s">
        <v>383</v>
      </c>
      <c r="E835" s="13"/>
      <c r="F835" s="13"/>
      <c r="G835" s="14"/>
      <c r="H835" s="22" t="s">
        <v>773</v>
      </c>
    </row>
    <row r="836" ht="15.75" customHeight="1" spans="1:16" x14ac:dyDescent="0.25">
      <c r="A836" s="12">
        <f>_xlfn.AGGREGATE(3,3,$B$9:B836)</f>
        <v>762</v>
      </c>
      <c r="B836" s="12">
        <v>247070026</v>
      </c>
      <c r="C836" s="12" t="s">
        <v>787</v>
      </c>
      <c r="D836" s="12" t="s">
        <v>788</v>
      </c>
      <c r="E836" s="13"/>
      <c r="F836" s="13"/>
      <c r="G836" s="14"/>
      <c r="H836" s="15" t="s">
        <v>773</v>
      </c>
    </row>
    <row r="837" ht="15.75" customHeight="1" spans="1:16" x14ac:dyDescent="0.25">
      <c r="A837" s="12">
        <f>_xlfn.AGGREGATE(3,3,$B$9:B837)</f>
        <v>763</v>
      </c>
      <c r="B837" s="12">
        <v>247070027</v>
      </c>
      <c r="C837" s="12" t="s">
        <v>789</v>
      </c>
      <c r="D837" s="12" t="s">
        <v>165</v>
      </c>
      <c r="E837" s="13"/>
      <c r="F837" s="13"/>
      <c r="G837" s="14">
        <f>$G$714</f>
        <v>0</v>
      </c>
      <c r="H837" s="22" t="s">
        <v>773</v>
      </c>
    </row>
    <row r="838" ht="15.75" customHeight="1" spans="1:16" x14ac:dyDescent="0.25">
      <c r="A838" s="12">
        <f>_xlfn.AGGREGATE(3,3,$B$9:B838)</f>
        <v>764</v>
      </c>
      <c r="B838" s="12">
        <v>247070028</v>
      </c>
      <c r="C838" s="12" t="s">
        <v>790</v>
      </c>
      <c r="D838" s="12" t="s">
        <v>38</v>
      </c>
      <c r="E838" s="13"/>
      <c r="F838" s="13"/>
      <c r="G838" s="14"/>
      <c r="H838" s="22" t="s">
        <v>773</v>
      </c>
    </row>
    <row r="839" ht="15.75" customHeight="1" spans="1:16" x14ac:dyDescent="0.25">
      <c r="A839" s="12">
        <f>_xlfn.AGGREGATE(3,3,$B$9:B839)</f>
        <v>765</v>
      </c>
      <c r="B839" s="12">
        <v>247070029</v>
      </c>
      <c r="C839" s="12" t="s">
        <v>345</v>
      </c>
      <c r="D839" s="12" t="s">
        <v>70</v>
      </c>
      <c r="E839" s="13"/>
      <c r="F839" s="13"/>
      <c r="G839" s="14">
        <f>$G$714</f>
        <v>0</v>
      </c>
      <c r="H839" s="22" t="s">
        <v>773</v>
      </c>
    </row>
    <row r="840" ht="15.75" customHeight="1" spans="1:16" x14ac:dyDescent="0.25">
      <c r="A840" s="12">
        <f>_xlfn.AGGREGATE(3,3,$B$9:B840)</f>
        <v>766</v>
      </c>
      <c r="B840" s="12">
        <v>247070030</v>
      </c>
      <c r="C840" s="12" t="s">
        <v>85</v>
      </c>
      <c r="D840" s="12" t="s">
        <v>499</v>
      </c>
      <c r="E840" s="13"/>
      <c r="F840" s="13"/>
      <c r="G840" s="14"/>
      <c r="H840" s="22" t="s">
        <v>773</v>
      </c>
    </row>
    <row r="841" ht="15.75" customHeight="1" spans="1:16" x14ac:dyDescent="0.25">
      <c r="A841" s="12">
        <f>_xlfn.AGGREGATE(3,3,$B$9:B841)</f>
        <v>767</v>
      </c>
      <c r="B841" s="12">
        <v>247070031</v>
      </c>
      <c r="C841" s="12" t="s">
        <v>641</v>
      </c>
      <c r="D841" s="12" t="s">
        <v>36</v>
      </c>
      <c r="E841" s="13"/>
      <c r="F841" s="13"/>
      <c r="G841" s="14"/>
      <c r="H841" s="22" t="s">
        <v>773</v>
      </c>
    </row>
    <row r="842" ht="15.75" customHeight="1" spans="1:16" x14ac:dyDescent="0.25">
      <c r="A842" s="12">
        <f>_xlfn.AGGREGATE(3,3,$B$9:B842)</f>
        <v>768</v>
      </c>
      <c r="B842" s="12">
        <v>247070032</v>
      </c>
      <c r="C842" s="12" t="s">
        <v>791</v>
      </c>
      <c r="D842" s="12" t="s">
        <v>189</v>
      </c>
      <c r="E842" s="13"/>
      <c r="F842" s="13"/>
      <c r="G842" s="14"/>
      <c r="H842" s="22" t="s">
        <v>773</v>
      </c>
    </row>
    <row r="843" ht="15.75" customHeight="1" spans="1:16" x14ac:dyDescent="0.25">
      <c r="A843" s="12">
        <f>_xlfn.AGGREGATE(3,3,$B$9:B843)</f>
        <v>769</v>
      </c>
      <c r="B843" s="12">
        <v>247070033</v>
      </c>
      <c r="C843" s="12" t="s">
        <v>792</v>
      </c>
      <c r="D843" s="12" t="s">
        <v>48</v>
      </c>
      <c r="E843" s="13"/>
      <c r="F843" s="13"/>
      <c r="G843" s="14"/>
      <c r="H843" s="22" t="s">
        <v>773</v>
      </c>
    </row>
    <row r="844" ht="15.75" customHeight="1" spans="1:16" x14ac:dyDescent="0.25">
      <c r="A844" s="12">
        <f>_xlfn.AGGREGATE(3,3,$B$9:B844)</f>
        <v>770</v>
      </c>
      <c r="B844" s="12">
        <v>247070034</v>
      </c>
      <c r="C844" s="12" t="s">
        <v>81</v>
      </c>
      <c r="D844" s="12" t="s">
        <v>165</v>
      </c>
      <c r="E844" s="13"/>
      <c r="F844" s="13"/>
      <c r="G844" s="14">
        <f>$G$714</f>
        <v>0</v>
      </c>
      <c r="H844" s="22" t="s">
        <v>773</v>
      </c>
    </row>
    <row r="845" ht="15.75" customHeight="1" spans="1:16" x14ac:dyDescent="0.25">
      <c r="A845" s="12">
        <f>_xlfn.AGGREGATE(3,3,$B$9:B845)</f>
        <v>771</v>
      </c>
      <c r="B845" s="12">
        <v>247070035</v>
      </c>
      <c r="C845" s="12" t="s">
        <v>519</v>
      </c>
      <c r="D845" s="12" t="s">
        <v>72</v>
      </c>
      <c r="E845" s="13"/>
      <c r="F845" s="13"/>
      <c r="G845" s="14"/>
      <c r="H845" s="22" t="s">
        <v>773</v>
      </c>
    </row>
    <row r="846" ht="15.75" customHeight="1" spans="1:16" x14ac:dyDescent="0.25">
      <c r="A846" s="12">
        <f>_xlfn.AGGREGATE(3,3,$B$9:B846)</f>
        <v>772</v>
      </c>
      <c r="B846" s="12">
        <v>247070036</v>
      </c>
      <c r="C846" s="12" t="s">
        <v>49</v>
      </c>
      <c r="D846" s="12" t="s">
        <v>70</v>
      </c>
      <c r="E846" s="13"/>
      <c r="F846" s="13"/>
      <c r="G846" s="14"/>
      <c r="H846" s="22" t="s">
        <v>773</v>
      </c>
    </row>
    <row r="847" ht="15.75" customHeight="1" spans="1:16" x14ac:dyDescent="0.25">
      <c r="A847" s="12">
        <f>_xlfn.AGGREGATE(3,3,$B$9:B847)</f>
        <v>773</v>
      </c>
      <c r="B847" s="12">
        <v>247070037</v>
      </c>
      <c r="C847" s="12" t="s">
        <v>226</v>
      </c>
      <c r="D847" s="12" t="s">
        <v>220</v>
      </c>
      <c r="E847" s="13"/>
      <c r="F847" s="13"/>
      <c r="G847" s="14"/>
      <c r="H847" s="22" t="s">
        <v>773</v>
      </c>
    </row>
    <row r="848" ht="15.75" customHeight="1" spans="1:16" x14ac:dyDescent="0.25">
      <c r="A848" s="12">
        <f>_xlfn.AGGREGATE(3,3,$B$9:B848)</f>
        <v>774</v>
      </c>
      <c r="B848" s="12">
        <v>247070038</v>
      </c>
      <c r="C848" s="12" t="s">
        <v>793</v>
      </c>
      <c r="D848" s="12" t="s">
        <v>30</v>
      </c>
      <c r="E848" s="13"/>
      <c r="F848" s="13"/>
      <c r="G848" s="14"/>
      <c r="H848" s="22" t="s">
        <v>773</v>
      </c>
    </row>
    <row r="849" ht="15.75" customHeight="1" spans="1:16" x14ac:dyDescent="0.25">
      <c r="A849" s="12">
        <f>_xlfn.AGGREGATE(3,3,$B$9:B849)</f>
        <v>775</v>
      </c>
      <c r="B849" s="12">
        <v>247070039</v>
      </c>
      <c r="C849" s="12" t="s">
        <v>642</v>
      </c>
      <c r="D849" s="12" t="s">
        <v>334</v>
      </c>
      <c r="E849" s="13"/>
      <c r="F849" s="13"/>
      <c r="G849" s="14">
        <f>$G$714</f>
        <v>0</v>
      </c>
      <c r="H849" s="22" t="s">
        <v>773</v>
      </c>
    </row>
    <row r="850" ht="15.75" customHeight="1" spans="1:16" x14ac:dyDescent="0.25">
      <c r="A850" s="12">
        <f>_xlfn.AGGREGATE(3,3,$B$9:B850)</f>
        <v>776</v>
      </c>
      <c r="B850" s="12">
        <v>247070040</v>
      </c>
      <c r="C850" s="12" t="s">
        <v>228</v>
      </c>
      <c r="D850" s="12" t="s">
        <v>58</v>
      </c>
      <c r="E850" s="13"/>
      <c r="F850" s="13"/>
      <c r="G850" s="14"/>
      <c r="H850" s="22" t="s">
        <v>773</v>
      </c>
    </row>
    <row r="851" ht="15.75" customHeight="1" spans="1:16" x14ac:dyDescent="0.25">
      <c r="A851" s="12">
        <f>_xlfn.AGGREGATE(3,3,$B$9:B851)</f>
        <v>777</v>
      </c>
      <c r="B851" s="12">
        <v>247070041</v>
      </c>
      <c r="C851" s="12" t="s">
        <v>794</v>
      </c>
      <c r="D851" s="12" t="s">
        <v>132</v>
      </c>
      <c r="E851" s="13"/>
      <c r="F851" s="13"/>
      <c r="G851" s="14"/>
      <c r="H851" s="22" t="s">
        <v>773</v>
      </c>
    </row>
    <row r="852" ht="15.75" customHeight="1" spans="1:16" x14ac:dyDescent="0.25">
      <c r="A852" s="12">
        <f>_xlfn.AGGREGATE(3,3,$B$9:B852)</f>
        <v>778</v>
      </c>
      <c r="B852" s="12">
        <v>247070042</v>
      </c>
      <c r="C852" s="12" t="s">
        <v>228</v>
      </c>
      <c r="D852" s="12" t="s">
        <v>795</v>
      </c>
      <c r="E852" s="13"/>
      <c r="F852" s="13"/>
      <c r="G852" s="14"/>
      <c r="H852" s="22" t="s">
        <v>773</v>
      </c>
    </row>
    <row r="853" ht="15.75" customHeight="1" spans="1:16" x14ac:dyDescent="0.25">
      <c r="A853" s="12">
        <f>_xlfn.AGGREGATE(3,3,$B$9:B853)</f>
        <v>779</v>
      </c>
      <c r="B853" s="12">
        <v>247070043</v>
      </c>
      <c r="C853" s="12" t="s">
        <v>449</v>
      </c>
      <c r="D853" s="12" t="s">
        <v>70</v>
      </c>
      <c r="E853" s="13"/>
      <c r="F853" s="13"/>
      <c r="G853" s="14"/>
      <c r="H853" s="22" t="s">
        <v>773</v>
      </c>
    </row>
    <row r="854" ht="15.75" customHeight="1" spans="1:16" x14ac:dyDescent="0.25">
      <c r="A854" s="12"/>
      <c r="B854" s="12"/>
      <c r="C854" s="12"/>
      <c r="D854" s="12"/>
      <c r="E854" s="13"/>
      <c r="F854" s="13"/>
      <c r="G854" s="14"/>
      <c r="H854" s="22"/>
    </row>
    <row r="855" ht="15.75" customHeight="1" spans="1:16" x14ac:dyDescent="0.25">
      <c r="A855" s="12"/>
      <c r="B855" s="12"/>
      <c r="C855" s="12"/>
      <c r="D855" s="12"/>
      <c r="E855" s="13"/>
      <c r="F855" s="13"/>
      <c r="G855" s="14"/>
      <c r="H855" s="22"/>
    </row>
    <row r="856" ht="15.75" customHeight="1" spans="1:16" x14ac:dyDescent="0.25">
      <c r="A856" s="12"/>
      <c r="B856" s="12"/>
      <c r="C856" s="12"/>
      <c r="D856" s="12"/>
      <c r="E856" s="13"/>
      <c r="F856" s="13"/>
      <c r="G856" s="14"/>
      <c r="H856" s="22"/>
    </row>
    <row r="857" ht="15.75" customHeight="1" spans="1:16" x14ac:dyDescent="0.25">
      <c r="A857" s="12"/>
      <c r="B857" s="12"/>
      <c r="C857" s="12"/>
      <c r="D857" s="12"/>
      <c r="E857" s="13"/>
      <c r="F857" s="13"/>
      <c r="G857" s="14"/>
      <c r="H857" s="22"/>
    </row>
    <row r="858" ht="15.75" customHeight="1" spans="1:16" x14ac:dyDescent="0.25">
      <c r="A858" s="12"/>
      <c r="B858" s="12"/>
      <c r="C858" s="12"/>
      <c r="D858" s="12"/>
      <c r="E858" s="13"/>
      <c r="F858" s="13"/>
      <c r="G858" s="14"/>
      <c r="H858" s="22"/>
    </row>
    <row r="859" ht="15.75" customHeight="1" spans="1:16" x14ac:dyDescent="0.25">
      <c r="A859" s="12"/>
      <c r="B859" s="12"/>
      <c r="C859" s="12"/>
      <c r="D859" s="12"/>
      <c r="E859" s="13"/>
      <c r="F859" s="13"/>
      <c r="G859" s="14"/>
      <c r="H859" s="22"/>
    </row>
    <row r="860" ht="15.75" customHeight="1" spans="1:16" x14ac:dyDescent="0.25">
      <c r="A860" s="12"/>
      <c r="B860" s="12"/>
      <c r="C860" s="12"/>
      <c r="D860" s="12"/>
      <c r="E860" s="13"/>
      <c r="F860" s="13"/>
      <c r="G860" s="14"/>
      <c r="H860" s="22"/>
    </row>
    <row r="861" ht="15.75" customHeight="1" spans="1:16" x14ac:dyDescent="0.25">
      <c r="A861" s="12"/>
      <c r="B861" s="12"/>
      <c r="C861" s="12"/>
      <c r="D861" s="12"/>
      <c r="E861" s="13"/>
      <c r="F861" s="13"/>
      <c r="G861" s="14"/>
      <c r="H861" s="22"/>
    </row>
    <row r="862" ht="15.75" customHeight="1" spans="1:16" x14ac:dyDescent="0.25">
      <c r="A862" s="12"/>
      <c r="B862" s="12"/>
      <c r="C862" s="12"/>
      <c r="D862" s="12"/>
      <c r="E862" s="13"/>
      <c r="F862" s="13"/>
      <c r="G862" s="14"/>
      <c r="H862" s="22"/>
    </row>
    <row r="863" ht="15.75" customHeight="1" spans="1:16" x14ac:dyDescent="0.25">
      <c r="A863" s="12"/>
      <c r="B863" s="12"/>
      <c r="C863" s="12"/>
      <c r="D863" s="12"/>
      <c r="E863" s="13"/>
      <c r="F863" s="13"/>
      <c r="G863" s="14"/>
      <c r="H863" s="22"/>
    </row>
    <row r="864" ht="15.75" customHeight="1" spans="1:16" x14ac:dyDescent="0.25">
      <c r="A864" s="12"/>
      <c r="B864" s="12"/>
      <c r="C864" s="12"/>
      <c r="D864" s="12"/>
      <c r="E864" s="13"/>
      <c r="F864" s="13"/>
      <c r="G864" s="14"/>
      <c r="H864" s="22"/>
    </row>
    <row r="865" ht="15.75" customHeight="1" spans="1:16" x14ac:dyDescent="0.25">
      <c r="A865" s="12"/>
      <c r="B865" s="12"/>
      <c r="C865" s="12"/>
      <c r="D865" s="12"/>
      <c r="E865" s="13"/>
      <c r="F865" s="13"/>
      <c r="G865" s="14"/>
      <c r="H865" s="22"/>
    </row>
    <row r="866" ht="15.75" customHeight="1" spans="1:16" x14ac:dyDescent="0.25">
      <c r="A866" s="12"/>
      <c r="B866" s="12"/>
      <c r="C866" s="12"/>
      <c r="D866" s="12"/>
      <c r="E866" s="13"/>
      <c r="F866" s="13"/>
      <c r="G866" s="15"/>
      <c r="H866" s="22"/>
    </row>
    <row r="867" ht="18" customHeight="1" spans="1:8" x14ac:dyDescent="0.25">
      <c r="A867" s="1"/>
      <c r="B867" s="5"/>
      <c r="C867" s="32"/>
      <c r="D867" s="32"/>
      <c r="E867" s="5"/>
      <c r="F867" s="33"/>
      <c r="G867" s="33" t="s">
        <v>796</v>
      </c>
      <c r="H867" s="34"/>
    </row>
    <row r="868" ht="18" customHeight="1" spans="1:8" x14ac:dyDescent="0.25">
      <c r="A868" s="1"/>
      <c r="B868" s="35" t="s">
        <v>797</v>
      </c>
      <c r="C868" s="36" t="s">
        <v>798</v>
      </c>
      <c r="D868" s="37"/>
      <c r="E868" s="38" t="s">
        <v>799</v>
      </c>
      <c r="F868" s="38"/>
      <c r="G868" s="39" t="s">
        <v>800</v>
      </c>
      <c r="H868" s="39"/>
    </row>
    <row r="869" ht="11.25" customHeight="1" spans="1:8" x14ac:dyDescent="0.25">
      <c r="A869" s="1"/>
      <c r="B869" s="40"/>
      <c r="C869" s="41"/>
      <c r="D869" s="40"/>
      <c r="E869" s="42"/>
      <c r="F869" s="42"/>
      <c r="G869" s="43"/>
      <c r="H869" s="36"/>
    </row>
    <row r="870" ht="18" customHeight="1" spans="1:8" x14ac:dyDescent="0.25">
      <c r="A870" s="9" t="s">
        <v>801</v>
      </c>
      <c r="B870" s="44"/>
      <c r="C870" s="44"/>
      <c r="D870" s="45"/>
      <c r="E870" s="44"/>
      <c r="F870" s="44"/>
      <c r="G870" s="44"/>
      <c r="H870" s="46"/>
    </row>
    <row r="871" ht="18" customHeight="1" spans="1:8" x14ac:dyDescent="0.25">
      <c r="A871" s="9" t="s">
        <v>802</v>
      </c>
      <c r="B871" s="5"/>
      <c r="C871" s="5"/>
      <c r="D871" s="47"/>
      <c r="E871" s="5"/>
      <c r="F871" s="5"/>
      <c r="G871" s="5"/>
      <c r="H871" s="1"/>
    </row>
    <row r="872" ht="15.6" customHeight="1" spans="1:8" x14ac:dyDescent="0.25">
      <c r="A872" s="46"/>
      <c r="B872" s="48"/>
      <c r="C872" s="46"/>
      <c r="D872" s="45"/>
      <c r="E872" s="46"/>
      <c r="F872" s="49" t="s">
        <v>803</v>
      </c>
      <c r="G872" s="49"/>
      <c r="H872" s="49"/>
    </row>
    <row r="873" ht="15.6" customHeight="1" spans="1:8" x14ac:dyDescent="0.25">
      <c r="A873" s="42" t="s">
        <v>804</v>
      </c>
      <c r="B873" s="42"/>
      <c r="C873" s="42" t="s">
        <v>805</v>
      </c>
      <c r="D873" s="42"/>
      <c r="E873" s="36" t="s">
        <v>799</v>
      </c>
      <c r="F873" s="36"/>
      <c r="G873" s="43" t="s">
        <v>806</v>
      </c>
      <c r="H873" s="50"/>
    </row>
    <row r="874" ht="18" customHeight="1" spans="1:8" x14ac:dyDescent="0.25">
      <c r="A874" s="1"/>
      <c r="B874" s="5"/>
      <c r="C874" s="5"/>
      <c r="D874" s="47"/>
      <c r="E874" s="5"/>
      <c r="F874" s="5"/>
      <c r="G874" s="5"/>
      <c r="H874" s="1"/>
    </row>
    <row r="875" ht="18" customHeight="1" spans="1:8" x14ac:dyDescent="0.25">
      <c r="A875" s="1"/>
      <c r="B875" s="5"/>
      <c r="C875" s="5"/>
      <c r="D875" s="47"/>
      <c r="E875" s="5"/>
      <c r="F875" s="5"/>
      <c r="G875" s="5"/>
      <c r="H875" s="1"/>
    </row>
    <row r="876" ht="18" customHeight="1" spans="1:8" x14ac:dyDescent="0.25">
      <c r="A876" s="1"/>
      <c r="B876" s="5"/>
      <c r="C876" s="5"/>
      <c r="D876" s="47"/>
      <c r="E876" s="5"/>
      <c r="F876" s="5"/>
      <c r="G876" s="5"/>
      <c r="H876" s="1"/>
    </row>
    <row r="877" ht="18" customHeight="1" spans="1:8" x14ac:dyDescent="0.25">
      <c r="A877" s="1"/>
      <c r="B877" s="5"/>
      <c r="C877" s="5"/>
      <c r="D877" s="41"/>
      <c r="E877" s="41"/>
      <c r="F877" s="41"/>
      <c r="G877" s="5"/>
      <c r="H877" s="1"/>
    </row>
    <row r="878" ht="18" customHeight="1" spans="1:8" x14ac:dyDescent="0.25">
      <c r="A878" s="1"/>
      <c r="B878" s="32"/>
      <c r="C878" s="5"/>
      <c r="D878" s="47"/>
      <c r="E878" s="5"/>
      <c r="F878" s="5"/>
      <c r="G878" s="5"/>
      <c r="H878" s="1"/>
    </row>
    <row r="879" ht="18" customHeight="1" spans="1:8" x14ac:dyDescent="0.25">
      <c r="A879" s="1"/>
      <c r="B879" s="32"/>
      <c r="C879" s="5"/>
      <c r="D879" s="47"/>
      <c r="E879" s="5"/>
      <c r="F879" s="5"/>
      <c r="G879" s="5"/>
      <c r="H879" s="1"/>
    </row>
    <row r="880" ht="18" customHeight="1" spans="1:8" x14ac:dyDescent="0.25">
      <c r="A880" s="1"/>
      <c r="B880" s="32"/>
      <c r="C880" s="5"/>
      <c r="D880" s="47"/>
      <c r="E880" s="5"/>
      <c r="F880" s="5"/>
      <c r="G880" s="5"/>
      <c r="H880" s="1"/>
    </row>
    <row r="881" ht="18" customHeight="1" spans="1:8" x14ac:dyDescent="0.25">
      <c r="A881" s="1"/>
      <c r="B881" s="32"/>
      <c r="C881" s="5"/>
      <c r="D881" s="47"/>
      <c r="E881" s="5"/>
      <c r="F881" s="5"/>
      <c r="G881" s="5"/>
      <c r="H881" s="1"/>
    </row>
    <row r="882" ht="18" customHeight="1" spans="1:8" x14ac:dyDescent="0.25">
      <c r="A882" s="1"/>
      <c r="B882" s="32"/>
      <c r="C882" s="5"/>
      <c r="D882" s="47"/>
      <c r="E882" s="5"/>
      <c r="F882" s="5"/>
      <c r="G882" s="5"/>
      <c r="H882" s="1"/>
    </row>
    <row r="883" ht="18" customHeight="1" spans="1:8" x14ac:dyDescent="0.25">
      <c r="A883" s="1"/>
      <c r="B883" s="32"/>
      <c r="C883" s="5"/>
      <c r="D883" s="47"/>
      <c r="E883" s="5"/>
      <c r="F883" s="5"/>
      <c r="G883" s="5"/>
      <c r="H883" s="1"/>
    </row>
    <row r="884" ht="18" customHeight="1" spans="1:8" x14ac:dyDescent="0.25">
      <c r="A884" s="1"/>
      <c r="B884" s="32"/>
      <c r="C884" s="5"/>
      <c r="D884" s="47"/>
      <c r="E884" s="5"/>
      <c r="F884" s="5"/>
      <c r="G884" s="5"/>
      <c r="H884" s="1"/>
    </row>
    <row r="885" ht="18" customHeight="1" spans="1:8" x14ac:dyDescent="0.25">
      <c r="A885" s="1"/>
      <c r="B885" s="32"/>
      <c r="C885" s="5"/>
      <c r="D885" s="47"/>
      <c r="E885" s="5"/>
      <c r="F885" s="5"/>
      <c r="G885" s="5"/>
      <c r="H885" s="1"/>
    </row>
    <row r="886" ht="18" customHeight="1" spans="1:8" x14ac:dyDescent="0.25">
      <c r="A886" s="1"/>
      <c r="B886" s="32"/>
      <c r="C886" s="5"/>
      <c r="D886" s="47"/>
      <c r="E886" s="5"/>
      <c r="F886" s="5"/>
      <c r="G886" s="5"/>
      <c r="H886" s="1"/>
    </row>
    <row r="887" ht="18" customHeight="1" spans="1:8" x14ac:dyDescent="0.25">
      <c r="A887" s="1"/>
      <c r="B887" s="32"/>
      <c r="C887" s="5"/>
      <c r="D887" s="47"/>
      <c r="E887" s="5"/>
      <c r="F887" s="5"/>
      <c r="G887" s="5"/>
      <c r="H887" s="1"/>
    </row>
    <row r="888" ht="18" customHeight="1" spans="1:8" x14ac:dyDescent="0.25">
      <c r="A888" s="1"/>
      <c r="B888" s="32"/>
      <c r="C888" s="5"/>
      <c r="D888" s="47"/>
      <c r="E888" s="5"/>
      <c r="F888" s="5"/>
      <c r="G888" s="5"/>
      <c r="H888" s="1"/>
    </row>
    <row r="889" ht="18" customHeight="1" spans="1:8" x14ac:dyDescent="0.25">
      <c r="A889" s="1"/>
      <c r="B889" s="32"/>
      <c r="C889" s="5"/>
      <c r="D889" s="47"/>
      <c r="E889" s="5"/>
      <c r="F889" s="5"/>
      <c r="G889" s="5"/>
      <c r="H889" s="1"/>
    </row>
    <row r="890" ht="18" customHeight="1" spans="1:8" x14ac:dyDescent="0.25">
      <c r="A890" s="1"/>
      <c r="B890" s="32"/>
      <c r="C890" s="5"/>
      <c r="D890" s="47"/>
      <c r="E890" s="5"/>
      <c r="F890" s="5"/>
      <c r="G890" s="5"/>
      <c r="H890" s="1"/>
    </row>
    <row r="891" ht="18" customHeight="1" spans="1:8" x14ac:dyDescent="0.25">
      <c r="A891" s="1"/>
      <c r="B891" s="32"/>
      <c r="C891" s="5"/>
      <c r="D891" s="47"/>
      <c r="E891" s="5"/>
      <c r="F891" s="5"/>
      <c r="G891" s="5"/>
      <c r="H891" s="1"/>
    </row>
  </sheetData>
  <autoFilter ref="A8:H868"/>
  <mergeCells count="13">
    <mergeCell ref="A3:H3"/>
    <mergeCell ref="A4:H4"/>
    <mergeCell ref="A5:C5"/>
    <mergeCell ref="A6:C6"/>
    <mergeCell ref="A7:C7"/>
    <mergeCell ref="C867:D867"/>
    <mergeCell ref="G868:H868"/>
    <mergeCell ref="E869:F869"/>
    <mergeCell ref="F872:H872"/>
    <mergeCell ref="A873:B873"/>
    <mergeCell ref="C873:D873"/>
    <mergeCell ref="E873:F873"/>
    <mergeCell ref="D877:F877"/>
  </mergeCells>
  <pageMargins left="0.11811023622047245" right="0.31496062992125984" top="0.15748031496062992" bottom="0.15748031496062992" header="0.31496062992125984" footer="0.31496062992125984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2026-07-04T03:11:03Z</dcterms:modified>
</cp:coreProperties>
</file>